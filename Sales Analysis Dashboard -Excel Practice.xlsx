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visha\Downloads\project-20260425T134617Z-3-001\project\"/>
    </mc:Choice>
  </mc:AlternateContent>
  <xr:revisionPtr revIDLastSave="0" documentId="13_ncr:1_{456A2E58-FC95-42A5-8C73-310A7D8D83CD}" xr6:coauthVersionLast="47" xr6:coauthVersionMax="47" xr10:uidLastSave="{00000000-0000-0000-0000-000000000000}"/>
  <bookViews>
    <workbookView xWindow="-108" yWindow="-108" windowWidth="23256" windowHeight="12456" tabRatio="714" firstSheet="4" activeTab="11" xr2:uid="{00000000-000D-0000-FFFF-FFFF00000000}"/>
  </bookViews>
  <sheets>
    <sheet name="FIRM WISE" sheetId="2" state="hidden" r:id="rId1"/>
    <sheet name="MONTH WISE" sheetId="4" state="hidden" r:id="rId2"/>
    <sheet name="TAX WISE" sheetId="5" state="hidden" r:id="rId3"/>
    <sheet name="PRODUCT WISE" sheetId="6" state="hidden" r:id="rId4"/>
    <sheet name="DATA" sheetId="1" r:id="rId5"/>
    <sheet name="Sheet1" sheetId="7" r:id="rId6"/>
    <sheet name="Firm_Wise" sheetId="9" r:id="rId7"/>
    <sheet name="Month_Wise" sheetId="10" r:id="rId8"/>
    <sheet name="Tax_Waise" sheetId="11" r:id="rId9"/>
    <sheet name="Product_Wise" sheetId="13" r:id="rId10"/>
    <sheet name="State_Wise" sheetId="12" r:id="rId11"/>
    <sheet name="Dashboard" sheetId="14" r:id="rId12"/>
  </sheets>
  <definedNames>
    <definedName name="Slicer_Description_of_Goods">#N/A</definedName>
    <definedName name="Slicer_Firm_Name">#N/A</definedName>
    <definedName name="Slicer_Months__Date">#N/A</definedName>
    <definedName name="Slicer_State">#N/A</definedName>
    <definedName name="Slicer_Tax_Rate">#N/A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<sst xmlns="http://schemas.openxmlformats.org/spreadsheetml/2006/main" count="223" uniqueCount="46">
  <si>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</si>
  <si>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</si>
  <si>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</si>
  <si>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</si>
  <si>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</si>
  <si>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</si>
  <si>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</si>
  <si>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</si>
  <si>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</si>
  <si>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</si>
  <si>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</si>
  <si>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</si>
  <si>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</si>
  <si>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</si>
  <si>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</si>
  <si>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</si>
  <si>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</si>
  <si>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</si>
  <si>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</si>
  <si>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</si>
  <si>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</si>
  <si>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</si>
  <si>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</si>
  <si>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</si>
  <si>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</si>
  <si>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</si>
  <si>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</si>
  <si>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</si>
  <si>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</si>
  <si>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</si>
  <si>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</si>
  <si>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</si>
  <si>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</si>
  <si>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</si>
  <si>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</si>
  <si>
    <t>FIRM WISE</t>
  </si>
  <si>
    <t>MONTH WISE</t>
  </si>
  <si>
    <t>TAX WISE</t>
  </si>
  <si>
    <t>PRODUCT WISE</t>
  </si>
  <si>
    <t>STATE WISE</t>
  </si>
  <si>
    <t>PT_FIRM</t>
  </si>
  <si>
    <t>PT_MONTH</t>
  </si>
  <si>
    <t>PT_TAX</t>
  </si>
  <si>
    <t>PT_PRODUCT</t>
  </si>
  <si>
    <t>PT_STATE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</si>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</sst>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8" x14ac:knownFonts="1">
    <font>
      <sz val="11"/>
      <color theme="1"/>
      <name val="Calibri"/>
      <family val="2"/>
      <scheme val="minor"/>
    </font>
    <font>
      <sz val="11"/>
      <color theme="1"/>
      <name val="Calibri"/>
      <family val="2"/>
      <scheme val="minor"/>
    </font>
    <font>
      <sz val="12"/>
      <color theme="1"/>
      <name val="Calibri"/>
      <family val="2"/>
      <scheme val="minor"/>
    </font>
    <font>
      <sz val="16"/>
      <color rgb="FFFF0000"/>
      <name val="Calibri"/>
      <family val="2"/>
      <scheme val="minor"/>
    </font>
    <font>
      <b/>
      <sz val="14"/>
      <color theme="0"/>
      <name val="Calibri"/>
      <family val="2"/>
      <scheme val="minor"/>
    </font>
    <font>
      <sz val="16"/>
      <color theme="1"/>
      <name val="Calibri"/>
      <family val="2"/>
      <scheme val="minor"/>
    </font>
    <font>
      <sz val="18"/>
      <color theme="1"/>
      <name val="Calibri"/>
      <family val="2"/>
      <scheme val="minor"/>
    </font>
    <font>
      <sz val="22"/>
      <color theme="1"/>
      <name val="Calibri"/>
      <family val="2"/>
      <scheme val="minor"/>
    </font>
  </fonts>
  <fills count="6">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1" fillId="2" borderId="0" applyNumberFormat="0" applyBorder="0" applyAlignment="0" applyProtection="0"/>
  </cellStyleXfs>
  <cellXfs count="39">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applyAlignment="1">
      <alignment horizontal="left"/>
    </xf>
    <xf numFmtId="0" fontId="3" fillId="0" borderId="1" xfId="0" applyFont="1" applyBorder="1"/>
    <xf numFmtId="0" fontId="2" fillId="4" borderId="2" xfId="1" applyFont="1" applyFill="1" applyBorder="1" applyAlignment="1">
      <alignment horizontal="center" vertical="center"/>
    </xf>
    <xf numFmtId="14" fontId="2" fillId="4" borderId="2" xfId="1" applyNumberFormat="1" applyFont="1" applyFill="1" applyBorder="1" applyAlignment="1">
      <alignment horizontal="center" vertical="center"/>
    </xf>
    <xf numFmtId="10" fontId="2" fillId="4" borderId="2" xfId="1" applyNumberFormat="1" applyFont="1" applyFill="1" applyBorder="1" applyAlignment="1">
      <alignment horizontal="center" vertical="center"/>
    </xf>
    <xf numFmtId="4" fontId="2" fillId="4" borderId="2" xfId="1" applyNumberFormat="1" applyFont="1" applyFill="1" applyBorder="1" applyAlignment="1">
      <alignment horizontal="center" vertical="center"/>
    </xf>
    <xf numFmtId="4" fontId="2" fillId="4" borderId="2" xfId="0" applyNumberFormat="1" applyFont="1" applyFill="1" applyBorder="1"/>
    <xf numFmtId="4" fontId="2" fillId="4" borderId="2" xfId="1" applyNumberFormat="1" applyFont="1" applyFill="1" applyBorder="1"/>
    <xf numFmtId="0" fontId="2" fillId="2" borderId="2" xfId="1" applyFont="1" applyBorder="1" applyAlignment="1">
      <alignment horizontal="center" vertical="center"/>
    </xf>
    <xf numFmtId="14" fontId="2" fillId="2" borderId="2" xfId="1" applyNumberFormat="1" applyFont="1" applyBorder="1" applyAlignment="1">
      <alignment horizontal="center" vertical="center"/>
    </xf>
    <xf numFmtId="10" fontId="2" fillId="2" borderId="2" xfId="1" applyNumberFormat="1" applyFont="1" applyBorder="1" applyAlignment="1">
      <alignment horizontal="center" vertical="center"/>
    </xf>
    <xf numFmtId="4" fontId="2" fillId="2" borderId="2" xfId="1" applyNumberFormat="1" applyFont="1" applyBorder="1" applyAlignment="1">
      <alignment horizontal="center" vertical="center"/>
    </xf>
    <xf numFmtId="4" fontId="2" fillId="0" borderId="2" xfId="0" applyNumberFormat="1" applyFont="1" applyBorder="1"/>
    <xf numFmtId="4" fontId="2" fillId="2" borderId="2" xfId="1" applyNumberFormat="1" applyFont="1" applyBorder="1"/>
    <xf numFmtId="10" fontId="2" fillId="4" borderId="2" xfId="1" applyNumberFormat="1" applyFont="1" applyFill="1" applyBorder="1" applyAlignment="1">
      <alignment horizontal="center"/>
    </xf>
    <xf numFmtId="0" fontId="2" fillId="4" borderId="2" xfId="1" applyFont="1" applyFill="1" applyBorder="1" applyAlignment="1">
      <alignment horizontal="center"/>
    </xf>
    <xf numFmtId="10" fontId="2" fillId="2" borderId="2" xfId="1" applyNumberFormat="1" applyFont="1" applyBorder="1" applyAlignment="1">
      <alignment horizontal="center"/>
    </xf>
    <xf numFmtId="0" fontId="2" fillId="2" borderId="2" xfId="1" applyFont="1" applyBorder="1" applyAlignment="1">
      <alignment horizontal="center"/>
    </xf>
    <xf numFmtId="0" fontId="2" fillId="4" borderId="3" xfId="1" applyFont="1" applyFill="1" applyBorder="1" applyAlignment="1">
      <alignment horizontal="center" vertical="center"/>
    </xf>
    <xf numFmtId="0" fontId="2" fillId="2" borderId="3" xfId="1" applyFont="1" applyBorder="1" applyAlignment="1">
      <alignment horizontal="center" vertical="center"/>
    </xf>
    <xf numFmtId="9" fontId="4" fillId="3" borderId="0" xfId="0" applyNumberFormat="1" applyFont="1" applyFill="1" applyAlignment="1">
      <alignment horizontal="center" vertical="center"/>
    </xf>
    <xf numFmtId="9" fontId="4" fillId="3" borderId="4" xfId="0" applyNumberFormat="1" applyFont="1" applyFill="1" applyBorder="1" applyAlignment="1">
      <alignment horizontal="center" vertical="center"/>
    </xf>
    <xf numFmtId="10" fontId="4" fillId="3" borderId="4" xfId="0" applyNumberFormat="1" applyFont="1" applyFill="1" applyBorder="1" applyAlignment="1">
      <alignment horizontal="center" vertical="center"/>
    </xf>
    <xf numFmtId="164" fontId="4" fillId="3" borderId="4" xfId="0" applyNumberFormat="1" applyFont="1" applyFill="1" applyBorder="1" applyAlignment="1">
      <alignment horizontal="center" vertical="center"/>
    </xf>
    <xf numFmtId="0" fontId="6" fillId="0" borderId="0" xfId="0" pivotButton="1" applyFont="1" applyAlignment="1">
      <alignment horizontal="center" vertical="center"/>
    </xf>
    <xf numFmtId="0" fontId="6" fillId="0" borderId="0" xfId="0" applyFont="1" applyAlignment="1">
      <alignment horizontal="center" vertical="center"/>
    </xf>
    <xf numFmtId="4" fontId="6" fillId="0" borderId="0" xfId="0" applyNumberFormat="1" applyFont="1" applyAlignment="1">
      <alignment horizontal="center" vertical="center"/>
    </xf>
    <xf numFmtId="0" fontId="7" fillId="0" borderId="0" xfId="0" pivotButton="1" applyFont="1" applyAlignment="1">
      <alignment horizontal="center" vertical="center"/>
    </xf>
    <xf numFmtId="0" fontId="7" fillId="0" borderId="0" xfId="0" applyFont="1" applyAlignment="1">
      <alignment horizontal="center" vertical="center"/>
    </xf>
    <xf numFmtId="4" fontId="7" fillId="0" borderId="0" xfId="0" applyNumberFormat="1" applyFont="1" applyAlignment="1">
      <alignment horizontal="center" vertical="center"/>
    </xf>
    <xf numFmtId="0" fontId="5" fillId="0" borderId="0" xfId="0" pivotButton="1" applyFont="1" applyAlignment="1">
      <alignment horizontal="center" vertical="center"/>
    </xf>
    <xf numFmtId="0" fontId="5" fillId="0" borderId="0" xfId="0" applyFont="1" applyAlignment="1">
      <alignment horizontal="center" vertical="center"/>
    </xf>
    <xf numFmtId="4" fontId="5" fillId="0" borderId="0" xfId="0" applyNumberFormat="1" applyFont="1" applyAlignment="1">
      <alignment horizontal="center" vertical="center"/>
    </xf>
    <xf numFmtId="10" fontId="5" fillId="0" borderId="0" xfId="0" applyNumberFormat="1" applyFont="1" applyAlignment="1">
      <alignment horizontal="center" vertical="center"/>
    </xf>
    <xf numFmtId="0" fontId="0" fillId="5" borderId="0" xfId="0" applyFill="1"/>
  </cellXfs>
  <cellStyles count="2">
    <cellStyle name="40% - Accent6" xfId="1" builtinId="51"/>
    <cellStyle name="Normal" xfId="0" builtinId="0"/>
  </cellStyles>
  <dxfs count="146">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sz val="16"/>
      </font>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22"/>
      </font>
    </dxf>
    <dxf>
      <font>
        <sz val="22"/>
      </font>
    </dxf>
    <dxf>
      <font>
        <sz val="22"/>
      </font>
    </dxf>
    <dxf>
      <font>
        <sz val="22"/>
      </font>
    </dxf>
    <dxf>
      <font>
        <sz val="22"/>
      </font>
    </dxf>
    <dxf>
      <font>
        <sz val="22"/>
      </font>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8"/>
      </font>
    </dxf>
    <dxf>
      <font>
        <sz val="18"/>
      </font>
    </dxf>
    <dxf>
      <font>
        <sz val="18"/>
      </font>
    </dxf>
    <dxf>
      <font>
        <sz val="18"/>
      </font>
    </dxf>
    <dxf>
      <font>
        <sz val="18"/>
      </font>
    </dxf>
    <dxf>
      <font>
        <sz val="18"/>
      </font>
    </dxf>
    <dxf>
      <font>
        <sz val="16"/>
      </font>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font>
    </dxf>
    <dxf>
      <font>
        <b val="0"/>
      </font>
    </dxf>
    <dxf>
      <font>
        <b val="0"/>
      </font>
    </dxf>
    <dxf>
      <font>
        <b val="0"/>
      </font>
    </dxf>
    <dxf>
      <font>
        <b val="0"/>
      </font>
    </dxf>
    <dxf>
      <font>
        <b val="0"/>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sz val="18"/>
      </font>
    </dxf>
    <dxf>
      <font>
        <sz val="18"/>
      </font>
    </dxf>
    <dxf>
      <font>
        <sz val="18"/>
      </font>
    </dxf>
    <dxf>
      <font>
        <sz val="18"/>
      </font>
    </dxf>
    <dxf>
      <font>
        <sz val="18"/>
      </font>
    </dxf>
    <dxf>
      <font>
        <sz val="18"/>
      </font>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65" formatCode="dd/mm/yyyy"/>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4"/>
        <color theme="0"/>
        <name val="Calibri"/>
        <family val="2"/>
        <scheme val="minor"/>
      </font>
      <numFmt numFmtId="164" formatCode="[$-409]d\-mmm\-yy;@"/>
      <fill>
        <patternFill patternType="solid">
          <fgColor indexed="64"/>
          <bgColor rgb="FFFFC0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Practice.xlsx]Firm_Wise!PivotTable1</c:name>
    <c:fmtId val="4"/>
  </c:pivotSource>
  <c:chart>
    <c:title>
      <c:tx>
        <c:rich>
          <a:bodyPr rot="0" spcFirstLastPara="1" vertOverflow="ellipsis" vert="horz" wrap="square" anchor="ctr" anchorCtr="1"/>
          <a:lstStyle/>
          <a:p>
            <a:pPr>
              <a:defRPr sz="1750" b="0" i="0" u="none" strike="noStrike" kern="1200" spc="0" baseline="0">
                <a:solidFill>
                  <a:schemeClr val="tx1">
                    <a:lumMod val="65000"/>
                    <a:lumOff val="35000"/>
                  </a:schemeClr>
                </a:solidFill>
                <a:latin typeface="+mn-lt"/>
                <a:ea typeface="+mn-ea"/>
                <a:cs typeface="+mn-cs"/>
              </a:defRPr>
            </a:pPr>
            <a:r>
              <a:rPr lang="en-IN" sz="1750" b="1" u="sng" baseline="0">
                <a:solidFill>
                  <a:srgbClr val="FF0000"/>
                </a:solidFill>
                <a:latin typeface="Algerian" panose="04020705040A02060702" pitchFamily="82" charset="0"/>
              </a:rPr>
              <a:t>FIRM_WISE</a:t>
            </a:r>
          </a:p>
        </c:rich>
      </c:tx>
      <c:layout>
        <c:manualLayout>
          <c:xMode val="edge"/>
          <c:yMode val="edge"/>
          <c:x val="0.28407983093022465"/>
          <c:y val="3.6496285421949375E-2"/>
        </c:manualLayout>
      </c:layout>
      <c:overlay val="0"/>
      <c:spPr>
        <a:noFill/>
        <a:ln>
          <a:noFill/>
        </a:ln>
        <a:effectLst/>
      </c:spPr>
      <c:txPr>
        <a:bodyPr rot="0" spcFirstLastPara="1" vertOverflow="ellipsis" vert="horz" wrap="square" anchor="ctr" anchorCtr="1"/>
        <a:lstStyle/>
        <a:p>
          <a:pPr>
            <a:defRPr sz="17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Firm_Wise!$B$3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29-493E-A6B2-87BEE43BC5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29-493E-A6B2-87BEE43BC58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Firm_Wise!$A$4:$A$6</c:f>
              <c:strCache>
                <c:ptCount val="2"/>
                <c:pt idx="0">
                  <c:v>JK Enterprise</c:v>
                </c:pt>
                <c:pt idx="1">
                  <c:v>SR Hardware</c:v>
                </c:pt>
              </c:strCache>
            </c:strRef>
          </c:cat>
          <c:val>
            <c:numRef>
              <c:f>Firm_Wise!$B$4:$B$6</c:f>
              <c:numCache>
                <c:formatCode>#,##0.00</c:formatCode>
                <c:ptCount val="2"/>
                <c:pt idx="0">
                  <c:v>410376.47000000003</c:v>
                </c:pt>
                <c:pt idx="1">
                  <c:v>459587.38999999996</c:v>
                </c:pt>
              </c:numCache>
            </c:numRef>
          </c:val>
          <c:extLst>
            <c:ext xmlns:c16="http://schemas.microsoft.com/office/drawing/2014/chart" uri="{C3380CC4-5D6E-409C-BE32-E72D297353CC}">
              <c16:uniqueId val="{00000004-1729-493E-A6B2-87BEE43BC58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Practice.xlsx]Month_Wise!PivotTable2</c:name>
    <c:fmtId val="7"/>
  </c:pivotSource>
  <c:chart>
    <c:title>
      <c:tx>
        <c:rich>
          <a:bodyPr rot="0" spcFirstLastPara="1" vertOverflow="ellipsis" vert="horz" wrap="square" anchor="ctr" anchorCtr="1"/>
          <a:lstStyle/>
          <a:p>
            <a:pPr>
              <a:defRPr sz="1750" b="0" i="0" u="none" strike="noStrike" kern="1200" spc="0" baseline="0">
                <a:solidFill>
                  <a:schemeClr val="tx1">
                    <a:lumMod val="65000"/>
                    <a:lumOff val="35000"/>
                  </a:schemeClr>
                </a:solidFill>
                <a:latin typeface="+mn-lt"/>
                <a:ea typeface="+mn-ea"/>
                <a:cs typeface="+mn-cs"/>
              </a:defRPr>
            </a:pPr>
            <a:r>
              <a:rPr lang="en-US" sz="1750" b="1" u="sng" baseline="0">
                <a:solidFill>
                  <a:srgbClr val="FF0000"/>
                </a:solidFill>
                <a:latin typeface="Algerian" panose="04020705040A02060702" pitchFamily="82" charset="0"/>
              </a:rPr>
              <a:t>MONTH_WISE</a:t>
            </a:r>
          </a:p>
          <a:p>
            <a:pPr>
              <a:defRPr sz="1750"/>
            </a:pPr>
            <a:endParaRPr lang="en-US" sz="1750" baseline="0"/>
          </a:p>
        </c:rich>
      </c:tx>
      <c:layout>
        <c:manualLayout>
          <c:xMode val="edge"/>
          <c:yMode val="edge"/>
          <c:x val="0.27653447282504323"/>
          <c:y val="0"/>
        </c:manualLayout>
      </c:layout>
      <c:overlay val="0"/>
      <c:spPr>
        <a:noFill/>
        <a:ln>
          <a:noFill/>
        </a:ln>
        <a:effectLst/>
      </c:spPr>
      <c:txPr>
        <a:bodyPr rot="0" spcFirstLastPara="1" vertOverflow="ellipsis" vert="horz" wrap="square" anchor="ctr" anchorCtr="1"/>
        <a:lstStyle/>
        <a:p>
          <a:pPr>
            <a:defRPr sz="17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20514051597209"/>
          <c:y val="0.31880660187746801"/>
          <c:w val="0.74323314768580762"/>
          <c:h val="0.33103142512591333"/>
        </c:manualLayout>
      </c:layout>
      <c:bar3DChart>
        <c:barDir val="col"/>
        <c:grouping val="stacked"/>
        <c:varyColors val="0"/>
        <c:ser>
          <c:idx val="0"/>
          <c:order val="0"/>
          <c:tx>
            <c:strRef>
              <c:f>Month_Wise!$B$3</c:f>
              <c:strCache>
                <c:ptCount val="1"/>
                <c:pt idx="0">
                  <c:v>Total</c:v>
                </c:pt>
              </c:strCache>
            </c:strRef>
          </c:tx>
          <c:spPr>
            <a:solidFill>
              <a:schemeClr val="accent1"/>
            </a:solidFill>
            <a:ln>
              <a:noFill/>
            </a:ln>
            <a:effectLst/>
            <a:sp3d/>
          </c:spPr>
          <c:invertIfNegative val="0"/>
          <c:cat>
            <c:strRef>
              <c:f>Month_Wise!$A$4:$A$8</c:f>
              <c:strCache>
                <c:ptCount val="4"/>
                <c:pt idx="0">
                  <c:v>Apr</c:v>
                </c:pt>
                <c:pt idx="1">
                  <c:v>May</c:v>
                </c:pt>
                <c:pt idx="2">
                  <c:v>Jun</c:v>
                </c:pt>
                <c:pt idx="3">
                  <c:v>Jul</c:v>
                </c:pt>
              </c:strCache>
            </c:strRef>
          </c:cat>
          <c:val>
            <c:numRef>
              <c:f>Month_Wise!$B$4:$B$8</c:f>
              <c:numCache>
                <c:formatCode>#,##0.00</c:formatCode>
                <c:ptCount val="4"/>
                <c:pt idx="0">
                  <c:v>21004</c:v>
                </c:pt>
                <c:pt idx="1">
                  <c:v>229752.43999999997</c:v>
                </c:pt>
                <c:pt idx="2">
                  <c:v>389805.09</c:v>
                </c:pt>
                <c:pt idx="3">
                  <c:v>229402.33</c:v>
                </c:pt>
              </c:numCache>
            </c:numRef>
          </c:val>
          <c:extLst>
            <c:ext xmlns:c16="http://schemas.microsoft.com/office/drawing/2014/chart" uri="{C3380CC4-5D6E-409C-BE32-E72D297353CC}">
              <c16:uniqueId val="{00000000-6F5E-42A8-9FDB-7B2A2D16F48A}"/>
            </c:ext>
          </c:extLst>
        </c:ser>
        <c:dLbls>
          <c:showLegendKey val="0"/>
          <c:showVal val="0"/>
          <c:showCatName val="0"/>
          <c:showSerName val="0"/>
          <c:showPercent val="0"/>
          <c:showBubbleSize val="0"/>
        </c:dLbls>
        <c:gapWidth val="100"/>
        <c:gapDepth val="121"/>
        <c:shape val="box"/>
        <c:axId val="1308197168"/>
        <c:axId val="1308180848"/>
        <c:axId val="0"/>
      </c:bar3DChart>
      <c:catAx>
        <c:axId val="1308197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180848"/>
        <c:crosses val="autoZero"/>
        <c:auto val="1"/>
        <c:lblAlgn val="ctr"/>
        <c:lblOffset val="100"/>
        <c:noMultiLvlLbl val="0"/>
      </c:catAx>
      <c:valAx>
        <c:axId val="1308180848"/>
        <c:scaling>
          <c:orientation val="minMax"/>
        </c:scaling>
        <c:delete val="1"/>
        <c:axPos val="l"/>
        <c:numFmt formatCode="#,##0.00" sourceLinked="1"/>
        <c:majorTickMark val="none"/>
        <c:minorTickMark val="none"/>
        <c:tickLblPos val="nextTo"/>
        <c:crossAx val="13081971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Practice.xlsx]Product_Wise!PivotTable5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50" b="1" u="sng">
                <a:solidFill>
                  <a:srgbClr val="FF0000"/>
                </a:solidFill>
                <a:latin typeface="Algerian" panose="04020705040A02060702" pitchFamily="82" charset="0"/>
              </a:rPr>
              <a:t>PRODUCT_WISE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Product_Wise!$B$3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FA-4EF9-ACE8-E8A529413D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FA-4EF9-ACE8-E8A529413D6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Product_Wise!$A$4:$A$6</c:f>
              <c:strCache>
                <c:ptCount val="2"/>
                <c:pt idx="0">
                  <c:v>Plywood 4mm</c:v>
                </c:pt>
                <c:pt idx="1">
                  <c:v>Plywood 6mm</c:v>
                </c:pt>
              </c:strCache>
            </c:strRef>
          </c:cat>
          <c:val>
            <c:numRef>
              <c:f>Product_Wise!$B$4:$B$6</c:f>
              <c:numCache>
                <c:formatCode>#,##0.00</c:formatCode>
                <c:ptCount val="2"/>
                <c:pt idx="0">
                  <c:v>427057.24</c:v>
                </c:pt>
                <c:pt idx="1">
                  <c:v>442906.61999999994</c:v>
                </c:pt>
              </c:numCache>
            </c:numRef>
          </c:val>
          <c:extLst>
            <c:ext xmlns:c16="http://schemas.microsoft.com/office/drawing/2014/chart" uri="{C3380CC4-5D6E-409C-BE32-E72D297353CC}">
              <c16:uniqueId val="{00000004-90FA-4EF9-ACE8-E8A529413D62}"/>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Practice.xlsx]Tax_Waise!PivotTable3</c:name>
    <c:fmtId val="3"/>
  </c:pivotSource>
  <c:chart>
    <c:title>
      <c:tx>
        <c:rich>
          <a:bodyPr rot="0" spcFirstLastPara="1" vertOverflow="ellipsis" vert="horz" wrap="square" anchor="ctr" anchorCtr="1"/>
          <a:lstStyle/>
          <a:p>
            <a:pPr>
              <a:defRPr sz="1750" b="0" i="0" u="none" strike="noStrike" kern="1200" spc="0" baseline="0">
                <a:solidFill>
                  <a:schemeClr val="tx1">
                    <a:lumMod val="65000"/>
                    <a:lumOff val="35000"/>
                  </a:schemeClr>
                </a:solidFill>
                <a:latin typeface="+mn-lt"/>
                <a:ea typeface="+mn-ea"/>
                <a:cs typeface="+mn-cs"/>
              </a:defRPr>
            </a:pPr>
            <a:r>
              <a:rPr lang="en-IN" sz="1750" b="1" u="sng" baseline="0">
                <a:solidFill>
                  <a:srgbClr val="FF0000"/>
                </a:solidFill>
                <a:latin typeface="Algerian" panose="04020705040A02060702" pitchFamily="82" charset="0"/>
              </a:rPr>
              <a:t>TAX_WISE</a:t>
            </a:r>
          </a:p>
          <a:p>
            <a:pPr>
              <a:defRPr sz="1750"/>
            </a:pPr>
            <a:endParaRPr lang="en-IN" sz="1750" baseline="0"/>
          </a:p>
        </c:rich>
      </c:tx>
      <c:layout>
        <c:manualLayout>
          <c:xMode val="edge"/>
          <c:yMode val="edge"/>
          <c:x val="0.3551975051975052"/>
          <c:y val="7.4786324786324784E-2"/>
        </c:manualLayout>
      </c:layout>
      <c:overlay val="0"/>
      <c:spPr>
        <a:noFill/>
        <a:ln>
          <a:noFill/>
        </a:ln>
        <a:effectLst/>
      </c:spPr>
      <c:txPr>
        <a:bodyPr rot="0" spcFirstLastPara="1" vertOverflow="ellipsis" vert="horz" wrap="square" anchor="ctr" anchorCtr="1"/>
        <a:lstStyle/>
        <a:p>
          <a:pPr>
            <a:defRPr sz="17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Tax_Waise!$B$3</c:f>
              <c:strCache>
                <c:ptCount val="1"/>
                <c:pt idx="0">
                  <c:v>Sum of IGST</c:v>
                </c:pt>
              </c:strCache>
            </c:strRef>
          </c:tx>
          <c:spPr>
            <a:solidFill>
              <a:schemeClr val="accent1"/>
            </a:solidFill>
            <a:ln>
              <a:noFill/>
            </a:ln>
            <a:effectLst/>
            <a:sp3d/>
          </c:spPr>
          <c:invertIfNegative val="0"/>
          <c:cat>
            <c:strRef>
              <c:f>Tax_Waise!$A$4:$A$11</c:f>
              <c:strCache>
                <c:ptCount val="7"/>
                <c:pt idx="0">
                  <c:v>0.00%</c:v>
                </c:pt>
                <c:pt idx="1">
                  <c:v>0.10%</c:v>
                </c:pt>
                <c:pt idx="2">
                  <c:v>3.00%</c:v>
                </c:pt>
                <c:pt idx="3">
                  <c:v>5.00%</c:v>
                </c:pt>
                <c:pt idx="4">
                  <c:v>12.00%</c:v>
                </c:pt>
                <c:pt idx="5">
                  <c:v>18.00%</c:v>
                </c:pt>
                <c:pt idx="6">
                  <c:v>28.00%</c:v>
                </c:pt>
              </c:strCache>
            </c:strRef>
          </c:cat>
          <c:val>
            <c:numRef>
              <c:f>Tax_Waise!$B$4:$B$11</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88C6-49C6-BDDA-5E3F09A4C8A5}"/>
            </c:ext>
          </c:extLst>
        </c:ser>
        <c:ser>
          <c:idx val="1"/>
          <c:order val="1"/>
          <c:tx>
            <c:strRef>
              <c:f>Tax_Waise!$C$3</c:f>
              <c:strCache>
                <c:ptCount val="1"/>
                <c:pt idx="0">
                  <c:v>Sum of CGST</c:v>
                </c:pt>
              </c:strCache>
            </c:strRef>
          </c:tx>
          <c:spPr>
            <a:solidFill>
              <a:schemeClr val="accent2"/>
            </a:solidFill>
            <a:ln>
              <a:noFill/>
            </a:ln>
            <a:effectLst/>
            <a:sp3d/>
          </c:spPr>
          <c:invertIfNegative val="0"/>
          <c:cat>
            <c:strRef>
              <c:f>Tax_Waise!$A$4:$A$11</c:f>
              <c:strCache>
                <c:ptCount val="7"/>
                <c:pt idx="0">
                  <c:v>0.00%</c:v>
                </c:pt>
                <c:pt idx="1">
                  <c:v>0.10%</c:v>
                </c:pt>
                <c:pt idx="2">
                  <c:v>3.00%</c:v>
                </c:pt>
                <c:pt idx="3">
                  <c:v>5.00%</c:v>
                </c:pt>
                <c:pt idx="4">
                  <c:v>12.00%</c:v>
                </c:pt>
                <c:pt idx="5">
                  <c:v>18.00%</c:v>
                </c:pt>
                <c:pt idx="6">
                  <c:v>28.00%</c:v>
                </c:pt>
              </c:strCache>
            </c:strRef>
          </c:cat>
          <c:val>
            <c:numRef>
              <c:f>Tax_Waise!$C$4:$C$11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1-88C6-49C6-BDDA-5E3F09A4C8A5}"/>
            </c:ext>
          </c:extLst>
        </c:ser>
        <c:ser>
          <c:idx val="2"/>
          <c:order val="2"/>
          <c:tx>
            <c:strRef>
              <c:f>Tax_Waise!$D$3</c:f>
              <c:strCache>
                <c:ptCount val="1"/>
                <c:pt idx="0">
                  <c:v>Sum of SGST</c:v>
                </c:pt>
              </c:strCache>
            </c:strRef>
          </c:tx>
          <c:spPr>
            <a:solidFill>
              <a:schemeClr val="accent3"/>
            </a:solidFill>
            <a:ln>
              <a:noFill/>
            </a:ln>
            <a:effectLst/>
            <a:sp3d/>
          </c:spPr>
          <c:invertIfNegative val="0"/>
          <c:cat>
            <c:strRef>
              <c:f>Tax_Waise!$A$4:$A$11</c:f>
              <c:strCache>
                <c:ptCount val="7"/>
                <c:pt idx="0">
                  <c:v>0.00%</c:v>
                </c:pt>
                <c:pt idx="1">
                  <c:v>0.10%</c:v>
                </c:pt>
                <c:pt idx="2">
                  <c:v>3.00%</c:v>
                </c:pt>
                <c:pt idx="3">
                  <c:v>5.00%</c:v>
                </c:pt>
                <c:pt idx="4">
                  <c:v>12.00%</c:v>
                </c:pt>
                <c:pt idx="5">
                  <c:v>18.00%</c:v>
                </c:pt>
                <c:pt idx="6">
                  <c:v>28.00%</c:v>
                </c:pt>
              </c:strCache>
            </c:strRef>
          </c:cat>
          <c:val>
            <c:numRef>
              <c:f>Tax_Waise!$D$4:$D$11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88C6-49C6-BDDA-5E3F09A4C8A5}"/>
            </c:ext>
          </c:extLst>
        </c:ser>
        <c:ser>
          <c:idx val="3"/>
          <c:order val="3"/>
          <c:tx>
            <c:strRef>
              <c:f>Tax_Waise!$E$3</c:f>
              <c:strCache>
                <c:ptCount val="1"/>
                <c:pt idx="0">
                  <c:v>Sum of TOTAL</c:v>
                </c:pt>
              </c:strCache>
            </c:strRef>
          </c:tx>
          <c:spPr>
            <a:solidFill>
              <a:schemeClr val="accent4"/>
            </a:solidFill>
            <a:ln>
              <a:noFill/>
            </a:ln>
            <a:effectLst/>
            <a:sp3d/>
          </c:spPr>
          <c:invertIfNegative val="0"/>
          <c:cat>
            <c:strRef>
              <c:f>Tax_Waise!$A$4:$A$11</c:f>
              <c:strCache>
                <c:ptCount val="7"/>
                <c:pt idx="0">
                  <c:v>0.00%</c:v>
                </c:pt>
                <c:pt idx="1">
                  <c:v>0.10%</c:v>
                </c:pt>
                <c:pt idx="2">
                  <c:v>3.00%</c:v>
                </c:pt>
                <c:pt idx="3">
                  <c:v>5.00%</c:v>
                </c:pt>
                <c:pt idx="4">
                  <c:v>12.00%</c:v>
                </c:pt>
                <c:pt idx="5">
                  <c:v>18.00%</c:v>
                </c:pt>
                <c:pt idx="6">
                  <c:v>28.00%</c:v>
                </c:pt>
              </c:strCache>
            </c:strRef>
          </c:cat>
          <c:val>
            <c:numRef>
              <c:f>Tax_Waise!$E$4:$E$11</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3-88C6-49C6-BDDA-5E3F09A4C8A5}"/>
            </c:ext>
          </c:extLst>
        </c:ser>
        <c:dLbls>
          <c:showLegendKey val="0"/>
          <c:showVal val="0"/>
          <c:showCatName val="0"/>
          <c:showSerName val="0"/>
          <c:showPercent val="0"/>
          <c:showBubbleSize val="0"/>
        </c:dLbls>
        <c:gapWidth val="150"/>
        <c:shape val="box"/>
        <c:axId val="1308202448"/>
        <c:axId val="1308204368"/>
        <c:axId val="0"/>
      </c:bar3DChart>
      <c:catAx>
        <c:axId val="1308202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08204368"/>
        <c:crosses val="autoZero"/>
        <c:auto val="1"/>
        <c:lblAlgn val="ctr"/>
        <c:lblOffset val="100"/>
        <c:noMultiLvlLbl val="0"/>
      </c:catAx>
      <c:valAx>
        <c:axId val="1308204368"/>
        <c:scaling>
          <c:orientation val="minMax"/>
        </c:scaling>
        <c:delete val="1"/>
        <c:axPos val="l"/>
        <c:numFmt formatCode="#,##0.00" sourceLinked="1"/>
        <c:majorTickMark val="none"/>
        <c:minorTickMark val="none"/>
        <c:tickLblPos val="nextTo"/>
        <c:crossAx val="130820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Practice.xlsx]State_Wise!PivotTable4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50" b="1" u="sng">
                <a:solidFill>
                  <a:srgbClr val="FF0000"/>
                </a:solidFill>
                <a:latin typeface="Algerian" panose="04020705040A02060702" pitchFamily="82" charset="0"/>
              </a:rPr>
              <a:t>STATE_WISE</a:t>
            </a:r>
          </a:p>
        </c:rich>
      </c:tx>
      <c:layout>
        <c:manualLayout>
          <c:xMode val="edge"/>
          <c:yMode val="edge"/>
          <c:x val="0.34072222222222215"/>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State_Wise!$B$3</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State_Wise!$A$4:$A$6</c:f>
              <c:strCache>
                <c:ptCount val="2"/>
                <c:pt idx="0">
                  <c:v>INTERSTATE</c:v>
                </c:pt>
                <c:pt idx="1">
                  <c:v>Local</c:v>
                </c:pt>
              </c:strCache>
            </c:strRef>
          </c:cat>
          <c:val>
            <c:numRef>
              <c:f>State_Wise!$B$4:$B$6</c:f>
              <c:numCache>
                <c:formatCode>#,##0.00</c:formatCode>
                <c:ptCount val="2"/>
                <c:pt idx="0">
                  <c:v>139553.4</c:v>
                </c:pt>
                <c:pt idx="1">
                  <c:v>730410.46</c:v>
                </c:pt>
              </c:numCache>
            </c:numRef>
          </c:val>
          <c:extLst>
            <c:ext xmlns:c16="http://schemas.microsoft.com/office/drawing/2014/chart" uri="{C3380CC4-5D6E-409C-BE32-E72D297353CC}">
              <c16:uniqueId val="{00000000-43D3-451D-B998-3AA024E018FD}"/>
            </c:ext>
          </c:extLst>
        </c:ser>
        <c:dLbls>
          <c:showLegendKey val="0"/>
          <c:showVal val="0"/>
          <c:showCatName val="0"/>
          <c:showSerName val="0"/>
          <c:showPercent val="0"/>
          <c:showBubbleSize val="0"/>
        </c:dLbls>
        <c:gapWidth val="150"/>
        <c:shape val="box"/>
        <c:axId val="1308156368"/>
        <c:axId val="1308148688"/>
        <c:axId val="0"/>
      </c:bar3DChart>
      <c:catAx>
        <c:axId val="1308156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08148688"/>
        <c:crosses val="autoZero"/>
        <c:auto val="1"/>
        <c:lblAlgn val="ctr"/>
        <c:lblOffset val="100"/>
        <c:noMultiLvlLbl val="0"/>
      </c:catAx>
      <c:valAx>
        <c:axId val="1308148688"/>
        <c:scaling>
          <c:orientation val="minMax"/>
        </c:scaling>
        <c:delete val="1"/>
        <c:axPos val="b"/>
        <c:numFmt formatCode="#,##0.00" sourceLinked="1"/>
        <c:majorTickMark val="none"/>
        <c:minorTickMark val="none"/>
        <c:tickLblPos val="nextTo"/>
        <c:crossAx val="13081563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594360</xdr:colOff>
      <xdr:row>5</xdr:row>
      <xdr:rowOff>15240</xdr:rowOff>
    </xdr:from>
    <xdr:to>
      <xdr:col>6</xdr:col>
      <xdr:colOff>274320</xdr:colOff>
      <xdr:row>14</xdr:row>
      <xdr:rowOff>83820</xdr:rowOff>
    </xdr:to>
    <xdr:graphicFrame macro="">
      <xdr:nvGraphicFramePr>
        <xdr:cNvPr id="2" name="Chart 1">
          <a:extLst>
            <a:ext uri="{FF2B5EF4-FFF2-40B4-BE49-F238E27FC236}">
              <a16:creationId xmlns:a16="http://schemas.microsoft.com/office/drawing/2014/main" id="{FD9CE632-1692-412E-88D9-5EDFE9E50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274320</xdr:colOff>
      <xdr:row>5</xdr:row>
      <xdr:rowOff>15240</xdr:rowOff>
    </xdr:from>
    <xdr:to>
      <xdr:col>11</xdr:col>
      <xdr:colOff>350520</xdr:colOff>
      <xdr:row>14</xdr:row>
      <xdr:rowOff>60960</xdr:rowOff>
    </xdr:to>
    <xdr:graphicFrame macro="">
      <xdr:nvGraphicFramePr>
        <xdr:cNvPr id="3" name="Chart 2">
          <a:extLst>
            <a:ext uri="{FF2B5EF4-FFF2-40B4-BE49-F238E27FC236}">
              <a16:creationId xmlns:a16="http://schemas.microsoft.com/office/drawing/2014/main" id="{96522832-ECF0-4E47-AC0C-D47E8D778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350520</xdr:colOff>
      <xdr:row>5</xdr:row>
      <xdr:rowOff>22860</xdr:rowOff>
    </xdr:from>
    <xdr:to>
      <xdr:col>15</xdr:col>
      <xdr:colOff>182880</xdr:colOff>
      <xdr:row>14</xdr:row>
      <xdr:rowOff>91440</xdr:rowOff>
    </xdr:to>
    <xdr:graphicFrame macro="">
      <xdr:nvGraphicFramePr>
        <xdr:cNvPr id="4" name="Chart 3">
          <a:extLst>
            <a:ext uri="{FF2B5EF4-FFF2-40B4-BE49-F238E27FC236}">
              <a16:creationId xmlns:a16="http://schemas.microsoft.com/office/drawing/2014/main" id="{A2155DEC-B82A-4795-9392-AA1604D82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601980</xdr:colOff>
      <xdr:row>14</xdr:row>
      <xdr:rowOff>53340</xdr:rowOff>
    </xdr:from>
    <xdr:to>
      <xdr:col>9</xdr:col>
      <xdr:colOff>15240</xdr:colOff>
      <xdr:row>24</xdr:row>
      <xdr:rowOff>175260</xdr:rowOff>
    </xdr:to>
    <xdr:graphicFrame macro="">
      <xdr:nvGraphicFramePr>
        <xdr:cNvPr id="5" name="Chart 4">
          <a:extLst>
            <a:ext uri="{FF2B5EF4-FFF2-40B4-BE49-F238E27FC236}">
              <a16:creationId xmlns:a16="http://schemas.microsoft.com/office/drawing/2014/main" id="{520CF73B-FE06-4454-8F31-68489BE3B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7620</xdr:colOff>
      <xdr:row>14</xdr:row>
      <xdr:rowOff>60960</xdr:rowOff>
    </xdr:from>
    <xdr:to>
      <xdr:col>15</xdr:col>
      <xdr:colOff>198120</xdr:colOff>
      <xdr:row>25</xdr:row>
      <xdr:rowOff>0</xdr:rowOff>
    </xdr:to>
    <xdr:graphicFrame macro="">
      <xdr:nvGraphicFramePr>
        <xdr:cNvPr id="6" name="Chart 5">
          <a:extLst>
            <a:ext uri="{FF2B5EF4-FFF2-40B4-BE49-F238E27FC236}">
              <a16:creationId xmlns:a16="http://schemas.microsoft.com/office/drawing/2014/main" id="{647A8588-CFC4-4CCF-B271-40FD43892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182880</xdr:colOff>
      <xdr:row>5</xdr:row>
      <xdr:rowOff>15240</xdr:rowOff>
    </xdr:from>
    <xdr:to>
      <xdr:col>18</xdr:col>
      <xdr:colOff>22860</xdr:colOff>
      <xdr:row>14</xdr:row>
      <xdr:rowOff>60960</xdr:rowOff>
    </xdr:to>
    <mc:AlternateContent xmlns:mc="http://schemas.openxmlformats.org/markup-compatibility/2006" xmlns:a14="http://schemas.microsoft.com/office/drawing/2010/main">
      <mc:Choice Requires="a14">
        <xdr:graphicFrame macro="">
          <xdr:nvGraphicFramePr>
            <xdr:cNvPr id="7" name="PT_FIRM">
              <a:extLst>
                <a:ext uri="{FF2B5EF4-FFF2-40B4-BE49-F238E27FC236}">
                  <a16:creationId xmlns:a16="http://schemas.microsoft.com/office/drawing/2014/main" id="{8D44C09C-29A5-78AD-AAA2-11A0B1E0DC91}"/>
                </a:ext>
              </a:extLst>
            </xdr:cNvPr>
            <xdr:cNvGraphicFramePr/>
          </xdr:nvGraphicFramePr>
          <xdr:xfrm>
            <a:off x="0" y="0"/>
            <a:ext cx="0" cy="0"/>
          </xdr:xfrm>
          <a:graphic>
            <a:graphicData uri="http://schemas.microsoft.com/office/drawing/2010/slicer">
              <sle:slicer xmlns:sle="http://schemas.microsoft.com/office/drawing/2010/slicer" name="PT_FIRM"/>
            </a:graphicData>
          </a:graphic>
        </xdr:graphicFrame>
      </mc:Choice>
      <mc:Fallback xmlns="">
        <xdr:sp macro="" textlink="">
          <xdr:nvSpPr>
            <xdr:cNvPr id="0" name=""/>
            <xdr:cNvSpPr>
              <a:spLocks noTextEdit="1"/>
            </xdr:cNvSpPr>
          </xdr:nvSpPr>
          <xdr:spPr>
            <a:xfrm>
              <a:off x="9326880" y="929640"/>
              <a:ext cx="166878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198120</xdr:colOff>
      <xdr:row>14</xdr:row>
      <xdr:rowOff>38100</xdr:rowOff>
    </xdr:from>
    <xdr:to>
      <xdr:col>18</xdr:col>
      <xdr:colOff>22860</xdr:colOff>
      <xdr:row>25</xdr:row>
      <xdr:rowOff>22860</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0F93AA73-AF1E-5441-1206-FA45CEAE84A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342120" y="2598420"/>
              <a:ext cx="165354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30480</xdr:rowOff>
    </xdr:from>
    <xdr:to>
      <xdr:col>2</xdr:col>
      <xdr:colOff>7620</xdr:colOff>
      <xdr:row>18</xdr:row>
      <xdr:rowOff>7620</xdr:rowOff>
    </xdr:to>
    <mc:AlternateContent xmlns:mc="http://schemas.openxmlformats.org/markup-compatibility/2006" xmlns:a14="http://schemas.microsoft.com/office/drawing/2010/main">
      <mc:Choice Requires="a14">
        <xdr:graphicFrame macro="">
          <xdr:nvGraphicFramePr>
            <xdr:cNvPr id="9" name="Tax Rate">
              <a:extLst>
                <a:ext uri="{FF2B5EF4-FFF2-40B4-BE49-F238E27FC236}">
                  <a16:creationId xmlns:a16="http://schemas.microsoft.com/office/drawing/2014/main" id="{50E8A09E-50E6-3F69-5765-A2AB8B6DAA25}"/>
                </a:ext>
              </a:extLst>
            </xdr:cNvPr>
            <xdr:cNvGraphicFramePr/>
          </xdr:nvGraphicFramePr>
          <xdr:xfrm>
            <a:off x="0" y="0"/>
            <a:ext cx="0" cy="0"/>
          </xdr:xfrm>
          <a:graphic>
            <a:graphicData uri="http://schemas.microsoft.com/office/drawing/2010/slicer">
              <sle:slicer xmlns:sle="http://schemas.microsoft.com/office/drawing/2010/slicer" name="Tax Rate"/>
            </a:graphicData>
          </a:graphic>
        </xdr:graphicFrame>
      </mc:Choice>
      <mc:Fallback xmlns="">
        <xdr:sp macro="" textlink="">
          <xdr:nvSpPr>
            <xdr:cNvPr id="0" name=""/>
            <xdr:cNvSpPr>
              <a:spLocks noTextEdit="1"/>
            </xdr:cNvSpPr>
          </xdr:nvSpPr>
          <xdr:spPr>
            <a:xfrm>
              <a:off x="0" y="1859280"/>
              <a:ext cx="122682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175261</xdr:rowOff>
    </xdr:from>
    <xdr:to>
      <xdr:col>2</xdr:col>
      <xdr:colOff>22860</xdr:colOff>
      <xdr:row>10</xdr:row>
      <xdr:rowOff>30480</xdr:rowOff>
    </xdr:to>
    <mc:AlternateContent xmlns:mc="http://schemas.openxmlformats.org/markup-compatibility/2006" xmlns:a14="http://schemas.microsoft.com/office/drawing/2010/main">
      <mc:Choice Requires="a14">
        <xdr:graphicFrame macro="">
          <xdr:nvGraphicFramePr>
            <xdr:cNvPr id="10" name="Description of Goods">
              <a:extLst>
                <a:ext uri="{FF2B5EF4-FFF2-40B4-BE49-F238E27FC236}">
                  <a16:creationId xmlns:a16="http://schemas.microsoft.com/office/drawing/2014/main" id="{F766B4B5-A124-7FD1-15E2-7DBCEB631BDF}"/>
                </a:ext>
              </a:extLst>
            </xdr:cNvPr>
            <xdr:cNvGraphicFramePr/>
          </xdr:nvGraphicFramePr>
          <xdr:xfrm>
            <a:off x="0" y="0"/>
            <a:ext cx="0" cy="0"/>
          </xdr:xfrm>
          <a:graphic>
            <a:graphicData uri="http://schemas.microsoft.com/office/drawing/2010/slicer">
              <sle:slicer xmlns:sle="http://schemas.microsoft.com/office/drawing/2010/slicer" name="Description of Goods"/>
            </a:graphicData>
          </a:graphic>
        </xdr:graphicFrame>
      </mc:Choice>
      <mc:Fallback xmlns="">
        <xdr:sp macro="" textlink="">
          <xdr:nvSpPr>
            <xdr:cNvPr id="0" name=""/>
            <xdr:cNvSpPr>
              <a:spLocks noTextEdit="1"/>
            </xdr:cNvSpPr>
          </xdr:nvSpPr>
          <xdr:spPr>
            <a:xfrm>
              <a:off x="0" y="906781"/>
              <a:ext cx="124206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167641</xdr:rowOff>
    </xdr:from>
    <xdr:to>
      <xdr:col>2</xdr:col>
      <xdr:colOff>22860</xdr:colOff>
      <xdr:row>25</xdr:row>
      <xdr:rowOff>7620</xdr:rowOff>
    </xdr:to>
    <mc:AlternateContent xmlns:mc="http://schemas.openxmlformats.org/markup-compatibility/2006" xmlns:a14="http://schemas.microsoft.com/office/drawing/2010/main">
      <mc:Choice Requires="a14">
        <xdr:graphicFrame macro="">
          <xdr:nvGraphicFramePr>
            <xdr:cNvPr id="11" name="Months (Date)">
              <a:extLst>
                <a:ext uri="{FF2B5EF4-FFF2-40B4-BE49-F238E27FC236}">
                  <a16:creationId xmlns:a16="http://schemas.microsoft.com/office/drawing/2014/main" id="{C01F666C-D928-633F-376F-04840B0E9785}"/>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3276601"/>
              <a:ext cx="1242060" cy="1303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266700</xdr:colOff>
      <xdr:row>0</xdr:row>
      <xdr:rowOff>121920</xdr:rowOff>
    </xdr:from>
    <xdr:to>
      <xdr:col>17</xdr:col>
      <xdr:colOff>259080</xdr:colOff>
      <xdr:row>4</xdr:row>
      <xdr:rowOff>83820</xdr:rowOff>
    </xdr:to>
    <xdr:sp macro="" textlink="">
      <xdr:nvSpPr>
        <xdr:cNvPr id="12" name="TextBox 11">
          <a:extLst>
            <a:ext uri="{FF2B5EF4-FFF2-40B4-BE49-F238E27FC236}">
              <a16:creationId xmlns:a16="http://schemas.microsoft.com/office/drawing/2014/main" id="{11FCCAB2-D74C-A166-DA05-6CC09B74CA35}"/>
            </a:ext>
          </a:extLst>
        </xdr:cNvPr>
        <xdr:cNvSpPr txBox="1"/>
      </xdr:nvSpPr>
      <xdr:spPr>
        <a:xfrm>
          <a:off x="266700" y="121920"/>
          <a:ext cx="10355580" cy="693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latin typeface="Algerian" panose="04020705040A02060702" pitchFamily="82" charset="0"/>
            </a:rPr>
            <a:t>SALES ANALYSIS DASHBOARD</a:t>
          </a: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si Nishad" refreshedDate="46048.692671296296" createdVersion="8" refreshedVersion="8" minRefreshableVersion="3" recordCount="36" xr:uid="{2CBCA6C0-A338-456A-BFD1-5EECAE8AE28C}">
  <cacheSource type="worksheet">
    <worksheetSource name="Sales_Datas"/>
  </cacheSource>
  <cacheFields count="19">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8"/>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 name="Months (Date)" numFmtId="0" databaseField="0">
      <fieldGroup base="3">
        <rangePr groupBy="months" startDate="2020-04-01T00:00:00" endDate="2021-07-04T00:00:00"/>
        <groupItems count="14">
          <s v="&lt;01-04-2020"/>
          <s v="Jan"/>
          <s v="Feb"/>
          <s v="Mar"/>
          <s v="Apr"/>
          <s v="May"/>
          <s v="Jun"/>
          <s v="Jul"/>
          <s v="Aug"/>
          <s v="Sep"/>
          <s v="Oct"/>
          <s v="Nov"/>
          <s v="Dec"/>
          <s v="&gt;04-07-2021"/>
        </groupItems>
      </fieldGroup>
    </cacheField>
    <cacheField name="Quarters (Date)" numFmtId="0" databaseField="0">
      <fieldGroup base="3">
        <rangePr groupBy="quarters" startDate="2020-04-01T00:00:00" endDate="2021-07-04T00:00:00"/>
        <groupItems count="6">
          <s v="&lt;01-04-2020"/>
          <s v="Qtr1"/>
          <s v="Qtr2"/>
          <s v="Qtr3"/>
          <s v="Qtr4"/>
          <s v="&gt;04-07-2021"/>
        </groupItems>
      </fieldGroup>
    </cacheField>
    <cacheField name="Years (Date)" numFmtId="0" databaseField="0">
      <fieldGroup base="3">
        <rangePr groupBy="years" startDate="2020-04-01T00:00:00" endDate="2021-07-04T00:00:00"/>
        <groupItems count="4">
          <s v="&lt;01-04-2020"/>
          <s v="2020"/>
          <s v="2021"/>
          <s v="&gt;04-07-2021"/>
        </groupItems>
      </fieldGroup>
    </cacheField>
  </cacheFields>
  <extLst>
    <ext xmlns:x14="http://schemas.microsoft.com/office/spreadsheetml/2009/9/main" uri="{725AE2AE-9491-48be-B2B4-4EB974FC3084}">
      <x14:pivotCacheDefinition pivotCacheId="1389353146"/>
    </ext>
  </extLst>
</pivotCacheDefinition>
</file>

<file path=xl/pivotCache/pivotCacheRecords1.xml><?xml version="1.0" encoding="utf-8"?>
<pivotCacheRecords xmlns="http://schemas.openxmlformats.org/spreadsheetml/2006/main" xmlns:r="http://schemas.openxmlformats.org/officeDocument/2006/relationships"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FIRM"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
  <location ref="A3:B6" firstHeaderRow="1" firstDataRow="1" firstDataCol="1"/>
  <pivotFields count="16">
    <pivotField axis="axisRow"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0"/>
  </rowFields>
  <rowItems count="3">
    <i>
      <x/>
    </i>
    <i>
      <x v="1"/>
    </i>
    <i t="grand">
      <x/>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3E2E64-C55C-4D94-9699-6E7A9C002E2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19">
    <pivotField name="PT_FIRM" axis="axisRow"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3">
    <i>
      <x/>
    </i>
    <i>
      <x v="1"/>
    </i>
    <i t="grand">
      <x/>
    </i>
  </rowItems>
  <colItems count="1">
    <i/>
  </colItems>
  <dataFields count="1">
    <dataField name="Sum of TOTAL" fld="14" baseField="0" baseItem="0" numFmtId="4"/>
  </dataFields>
  <formats count="18">
    <format dxfId="126">
      <pivotArea type="all" dataOnly="0" outline="0" fieldPosition="0"/>
    </format>
    <format dxfId="125">
      <pivotArea outline="0" collapsedLevelsAreSubtotals="1" fieldPosition="0"/>
    </format>
    <format dxfId="124">
      <pivotArea field="0" type="button" dataOnly="0" labelOnly="1" outline="0" axis="axisRow" fieldPosition="0"/>
    </format>
    <format dxfId="123">
      <pivotArea dataOnly="0" labelOnly="1" fieldPosition="0">
        <references count="1">
          <reference field="0" count="0"/>
        </references>
      </pivotArea>
    </format>
    <format dxfId="122">
      <pivotArea dataOnly="0" labelOnly="1" grandRow="1" outline="0" fieldPosition="0"/>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field="0" type="button" dataOnly="0" labelOnly="1" outline="0" axis="axisRow" fieldPosition="0"/>
    </format>
    <format dxfId="117">
      <pivotArea dataOnly="0" labelOnly="1" fieldPosition="0">
        <references count="1">
          <reference field="0" count="0"/>
        </references>
      </pivotArea>
    </format>
    <format dxfId="116">
      <pivotArea dataOnly="0" labelOnly="1" grandRow="1" outline="0"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0" type="button" dataOnly="0" labelOnly="1" outline="0" axis="axisRow" fieldPosition="0"/>
    </format>
    <format dxfId="111">
      <pivotArea dataOnly="0" labelOnly="1" fieldPosition="0">
        <references count="1">
          <reference field="0" count="0"/>
        </references>
      </pivotArea>
    </format>
    <format dxfId="110">
      <pivotArea dataOnly="0" labelOnly="1" grandRow="1" outline="0" fieldPosition="0"/>
    </format>
    <format dxfId="109">
      <pivotArea dataOnly="0" labelOnly="1" outline="0" axis="axisValues"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35179B-E908-4B6C-92E5-0C9A067DD97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name="PI_MONTH"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5">
    <i>
      <x v="4"/>
    </i>
    <i>
      <x v="5"/>
    </i>
    <i>
      <x v="6"/>
    </i>
    <i>
      <x v="7"/>
    </i>
    <i t="grand">
      <x/>
    </i>
  </rowItems>
  <colItems count="1">
    <i/>
  </colItems>
  <dataFields count="1">
    <dataField name="Sum of TOTAL" fld="14" baseField="0" baseItem="0" numFmtId="4"/>
  </dataFields>
  <formats count="30">
    <format dxfId="108">
      <pivotArea type="all" dataOnly="0" outline="0" fieldPosition="0"/>
    </format>
    <format dxfId="107">
      <pivotArea outline="0" collapsedLevelsAreSubtotals="1" fieldPosition="0"/>
    </format>
    <format dxfId="106">
      <pivotArea field="16" type="button" dataOnly="0" labelOnly="1" outline="0" axis="axisRow" fieldPosition="0"/>
    </format>
    <format dxfId="105">
      <pivotArea dataOnly="0" labelOnly="1" fieldPosition="0">
        <references count="1">
          <reference field="16" count="4">
            <x v="4"/>
            <x v="5"/>
            <x v="6"/>
            <x v="7"/>
          </reference>
        </references>
      </pivotArea>
    </format>
    <format dxfId="104">
      <pivotArea dataOnly="0" labelOnly="1" grandRow="1" outline="0"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16" type="button" dataOnly="0" labelOnly="1" outline="0" axis="axisRow" fieldPosition="0"/>
    </format>
    <format dxfId="99">
      <pivotArea dataOnly="0" labelOnly="1" fieldPosition="0">
        <references count="1">
          <reference field="16" count="4">
            <x v="4"/>
            <x v="5"/>
            <x v="6"/>
            <x v="7"/>
          </reference>
        </references>
      </pivotArea>
    </format>
    <format dxfId="98">
      <pivotArea dataOnly="0" labelOnly="1" grandRow="1" outline="0"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field="16" type="button" dataOnly="0" labelOnly="1" outline="0" axis="axisRow" fieldPosition="0"/>
    </format>
    <format dxfId="93">
      <pivotArea dataOnly="0" labelOnly="1" fieldPosition="0">
        <references count="1">
          <reference field="16" count="4">
            <x v="4"/>
            <x v="5"/>
            <x v="6"/>
            <x v="7"/>
          </reference>
        </references>
      </pivotArea>
    </format>
    <format dxfId="92">
      <pivotArea dataOnly="0" labelOnly="1" grandRow="1" outline="0"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16" type="button" dataOnly="0" labelOnly="1" outline="0" axis="axisRow" fieldPosition="0"/>
    </format>
    <format dxfId="87">
      <pivotArea dataOnly="0" labelOnly="1" fieldPosition="0">
        <references count="1">
          <reference field="16" count="4">
            <x v="4"/>
            <x v="5"/>
            <x v="6"/>
            <x v="7"/>
          </reference>
        </references>
      </pivotArea>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16" type="button" dataOnly="0" labelOnly="1" outline="0" axis="axisRow" fieldPosition="0"/>
    </format>
    <format dxfId="81">
      <pivotArea dataOnly="0" labelOnly="1" fieldPosition="0">
        <references count="1">
          <reference field="16" count="4">
            <x v="4"/>
            <x v="5"/>
            <x v="6"/>
            <x v="7"/>
          </reference>
        </references>
      </pivotArea>
    </format>
    <format dxfId="80">
      <pivotArea dataOnly="0" labelOnly="1" grandRow="1" outline="0" fieldPosition="0"/>
    </format>
    <format dxfId="79">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413A7E-DBC8-4279-B091-BDFE88066C7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11" firstHeaderRow="0"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ame="PT_TAX"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Sum of IGST" fld="10" baseField="0" baseItem="0" numFmtId="4"/>
    <dataField name="Sum of CGST" fld="11" baseField="0" baseItem="0" numFmtId="4"/>
    <dataField name="Sum of SGST" fld="12" baseField="0" baseItem="0" numFmtId="4"/>
    <dataField name="Sum of TOTAL" fld="14" baseField="0" baseItem="0" numFmtId="4"/>
  </dataFields>
  <formats count="24">
    <format dxfId="78">
      <pivotArea type="all" dataOnly="0" outline="0" fieldPosition="0"/>
    </format>
    <format dxfId="77">
      <pivotArea outline="0" collapsedLevelsAreSubtotals="1" fieldPosition="0"/>
    </format>
    <format dxfId="76">
      <pivotArea field="4" type="button" dataOnly="0" labelOnly="1" outline="0" axis="axisRow" fieldPosition="0"/>
    </format>
    <format dxfId="75">
      <pivotArea dataOnly="0" labelOnly="1" fieldPosition="0">
        <references count="1">
          <reference field="4" count="0"/>
        </references>
      </pivotArea>
    </format>
    <format dxfId="74">
      <pivotArea dataOnly="0" labelOnly="1" grandRow="1" outline="0" fieldPosition="0"/>
    </format>
    <format dxfId="73">
      <pivotArea dataOnly="0" labelOnly="1" outline="0" fieldPosition="0">
        <references count="1">
          <reference field="4294967294" count="4">
            <x v="0"/>
            <x v="1"/>
            <x v="2"/>
            <x v="3"/>
          </reference>
        </references>
      </pivotArea>
    </format>
    <format dxfId="72">
      <pivotArea type="all" dataOnly="0" outline="0" fieldPosition="0"/>
    </format>
    <format dxfId="71">
      <pivotArea outline="0" collapsedLevelsAreSubtotals="1" fieldPosition="0"/>
    </format>
    <format dxfId="70">
      <pivotArea field="4" type="button" dataOnly="0" labelOnly="1" outline="0" axis="axisRow" fieldPosition="0"/>
    </format>
    <format dxfId="69">
      <pivotArea dataOnly="0" labelOnly="1" fieldPosition="0">
        <references count="1">
          <reference field="4" count="0"/>
        </references>
      </pivotArea>
    </format>
    <format dxfId="68">
      <pivotArea dataOnly="0" labelOnly="1" grandRow="1" outline="0" fieldPosition="0"/>
    </format>
    <format dxfId="67">
      <pivotArea dataOnly="0" labelOnly="1" outline="0" fieldPosition="0">
        <references count="1">
          <reference field="4294967294" count="4">
            <x v="0"/>
            <x v="1"/>
            <x v="2"/>
            <x v="3"/>
          </reference>
        </references>
      </pivotArea>
    </format>
    <format dxfId="66">
      <pivotArea type="all" dataOnly="0" outline="0" fieldPosition="0"/>
    </format>
    <format dxfId="65">
      <pivotArea outline="0" collapsedLevelsAreSubtotals="1" fieldPosition="0"/>
    </format>
    <format dxfId="64">
      <pivotArea field="4" type="button" dataOnly="0" labelOnly="1" outline="0" axis="axisRow" fieldPosition="0"/>
    </format>
    <format dxfId="63">
      <pivotArea dataOnly="0" labelOnly="1" fieldPosition="0">
        <references count="1">
          <reference field="4" count="0"/>
        </references>
      </pivotArea>
    </format>
    <format dxfId="62">
      <pivotArea dataOnly="0" labelOnly="1" grandRow="1" outline="0" fieldPosition="0"/>
    </format>
    <format dxfId="61">
      <pivotArea dataOnly="0" labelOnly="1" outline="0" fieldPosition="0">
        <references count="1">
          <reference field="4294967294" count="4">
            <x v="0"/>
            <x v="1"/>
            <x v="2"/>
            <x v="3"/>
          </reference>
        </references>
      </pivotArea>
    </format>
    <format dxfId="60">
      <pivotArea type="all" dataOnly="0" outline="0" fieldPosition="0"/>
    </format>
    <format dxfId="59">
      <pivotArea outline="0" collapsedLevelsAreSubtotals="1" fieldPosition="0"/>
    </format>
    <format dxfId="58">
      <pivotArea field="4" type="button" dataOnly="0" labelOnly="1" outline="0" axis="axisRow" fieldPosition="0"/>
    </format>
    <format dxfId="57">
      <pivotArea dataOnly="0" labelOnly="1" fieldPosition="0">
        <references count="1">
          <reference field="4" count="0"/>
        </references>
      </pivotArea>
    </format>
    <format dxfId="56">
      <pivotArea dataOnly="0" labelOnly="1" grandRow="1" outline="0" fieldPosition="0"/>
    </format>
    <format dxfId="55">
      <pivotArea dataOnly="0" labelOnly="1" outline="0" fieldPosition="0">
        <references count="1">
          <reference field="4294967294" count="4">
            <x v="0"/>
            <x v="1"/>
            <x v="2"/>
            <x v="3"/>
          </reference>
        </references>
      </pivotArea>
    </format>
  </format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Dark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67DD55-1089-40DA-A173-2C778888ADA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name="PT_PRODUCT"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Sum of TOTAL" fld="14" baseField="0" baseItem="0" numFmtId="4"/>
  </dataFields>
  <formats count="18">
    <format dxfId="54">
      <pivotArea type="all" dataOnly="0" outline="0" fieldPosition="0"/>
    </format>
    <format dxfId="53">
      <pivotArea outline="0" collapsedLevelsAreSubtotals="1" fieldPosition="0"/>
    </format>
    <format dxfId="52">
      <pivotArea field="5" type="button" dataOnly="0" labelOnly="1" outline="0" axis="axisRow" fieldPosition="0"/>
    </format>
    <format dxfId="51">
      <pivotArea dataOnly="0" labelOnly="1" fieldPosition="0">
        <references count="1">
          <reference field="5" count="0"/>
        </references>
      </pivotArea>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5" type="button" dataOnly="0" labelOnly="1" outline="0" axis="axisRow" fieldPosition="0"/>
    </format>
    <format dxfId="45">
      <pivotArea dataOnly="0" labelOnly="1" fieldPosition="0">
        <references count="1">
          <reference field="5" count="0"/>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5" type="button" dataOnly="0" labelOnly="1" outline="0" axis="axisRow" fieldPosition="0"/>
    </format>
    <format dxfId="39">
      <pivotArea dataOnly="0" labelOnly="1" fieldPosition="0">
        <references count="1">
          <reference field="5" count="0"/>
        </references>
      </pivotArea>
    </format>
    <format dxfId="38">
      <pivotArea dataOnly="0" labelOnly="1" grandRow="1" outline="0" fieldPosition="0"/>
    </format>
    <format dxfId="37">
      <pivotArea dataOnly="0" labelOnly="1" outline="0" axis="axisValues"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466E53-2F2F-4B5C-AD4B-16E5B8BA236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9">
    <pivotField showAll="0">
      <items count="3">
        <item x="0"/>
        <item x="1"/>
        <item t="default"/>
      </items>
    </pivotField>
    <pivotField name="PT_STATE" axis="axisRow"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3">
    <i>
      <x/>
    </i>
    <i>
      <x v="1"/>
    </i>
    <i t="grand">
      <x/>
    </i>
  </rowItems>
  <colItems count="1">
    <i/>
  </colItems>
  <dataFields count="1">
    <dataField name="Sum of TOTAL" fld="14" baseField="0" baseItem="0" numFmtId="4"/>
  </dataFields>
  <formats count="24">
    <format dxfId="36">
      <pivotArea type="all" dataOnly="0" outline="0" fieldPosition="0"/>
    </format>
    <format dxfId="35">
      <pivotArea outline="0" collapsedLevelsAreSubtotals="1" fieldPosition="0"/>
    </format>
    <format dxfId="34">
      <pivotArea field="1" type="button" dataOnly="0" labelOnly="1" outline="0" axis="axisRow" fieldPosition="0"/>
    </format>
    <format dxfId="33">
      <pivotArea dataOnly="0" labelOnly="1" fieldPosition="0">
        <references count="1">
          <reference field="1"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0"/>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2D93FD6E-5D4F-4CFE-9229-974328679212}" sourceName="Firm Name ">
  <pivotTables>
    <pivotTable tabId="9" name="PivotTable1"/>
    <pivotTable tabId="10" name="PivotTable2"/>
    <pivotTable tabId="13" name="PivotTable5"/>
    <pivotTable tabId="12" name="PivotTable4"/>
    <pivotTable tabId="11" name="PivotTable3"/>
  </pivotTables>
  <data>
    <tabular pivotCacheId="13893531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1DE163D-6A35-47BE-A5F2-C9657AC9DB6B}" sourceName="State">
  <pivotTables>
    <pivotTable tabId="9" name="PivotTable1"/>
    <pivotTable tabId="10" name="PivotTable2"/>
    <pivotTable tabId="13" name="PivotTable5"/>
    <pivotTable tabId="12" name="PivotTable4"/>
    <pivotTable tabId="11" name="PivotTable3"/>
  </pivotTables>
  <data>
    <tabular pivotCacheId="13893531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88C3D8CB-EF5B-4F73-B7F4-C9C4D15569AB}" sourceName="Tax Rate">
  <pivotTables>
    <pivotTable tabId="9" name="PivotTable1"/>
    <pivotTable tabId="10" name="PivotTable2"/>
    <pivotTable tabId="13" name="PivotTable5"/>
    <pivotTable tabId="12" name="PivotTable4"/>
    <pivotTable tabId="11" name="PivotTable3"/>
  </pivotTables>
  <data>
    <tabular pivotCacheId="1389353146">
      <items count="7">
        <i x="3" s="1"/>
        <i x="6" s="1"/>
        <i x="2" s="1"/>
        <i x="5"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417DDFAE-C491-4C30-AB1A-35DD6615081D}" sourceName="Description of Goods">
  <pivotTables>
    <pivotTable tabId="9" name="PivotTable1"/>
    <pivotTable tabId="10" name="PivotTable2"/>
    <pivotTable tabId="13" name="PivotTable5"/>
    <pivotTable tabId="12" name="PivotTable4"/>
    <pivotTable tabId="11" name="PivotTable3"/>
  </pivotTables>
  <data>
    <tabular pivotCacheId="138935314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BFEE5B8-D7A0-4CAB-BB01-98D268E1D641}" sourceName="Months (Date)">
  <pivotTables>
    <pivotTable tabId="9" name="PivotTable1"/>
    <pivotTable tabId="10" name="PivotTable2"/>
    <pivotTable tabId="13" name="PivotTable5"/>
    <pivotTable tabId="12" name="PivotTable4"/>
    <pivotTable tabId="11" name="PivotTable3"/>
  </pivotTables>
  <data>
    <tabular pivotCacheId="1389353146">
      <items count="14">
        <i x="4" s="1"/>
        <i x="5" s="1"/>
        <i x="6" s="1"/>
        <i x="7" s="1"/>
        <i x="1" s="1" nd="1"/>
        <i x="2" s="1" nd="1"/>
        <i x="3"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_FIRM" xr10:uid="{B9C2DC06-1A49-4A71-A003-AA91155B9323}" cache="Slicer_Firm_Name" caption="Firms" style="SlicerStyleDark5" rowHeight="234950"/>
  <slicer name="State" xr10:uid="{A15B787A-7A07-4B2B-A6F9-CA0BD0B3A94D}" cache="Slicer_State" caption="State" style="SlicerStyleDark5" rowHeight="234950"/>
  <slicer name="Tax Rate" xr10:uid="{403AB5B7-3614-4FA9-A57F-A91CFBF7FE24}" cache="Slicer_Tax_Rate" caption="GST Rate" style="SlicerStyleDark5" rowHeight="234950"/>
  <slicer name="Description of Goods" xr10:uid="{3E36DE11-20A8-495E-8E03-D8D2D389999C}" cache="Slicer_Description_of_Goods" caption="Products" style="SlicerStyleDark5" rowHeight="234950"/>
  <slicer name="Months (Date)" xr10:uid="{B86E76DD-3622-46D4-9CC9-CB32A98F2B35}" cache="Slicer_Months__Date" caption="Months (Date)"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24B3AC-B95F-4944-A81A-60D2C5DCC945}" name="Sales_Datas" displayName="Sales_Datas" ref="A1:P37" totalsRowShown="0" headerRowDxfId="145" dataDxfId="144" tableBorderDxfId="143" dataCellStyle="40% - Accent6">
  <autoFilter ref="A1:P37" xr:uid="{2024B3AC-B95F-4944-A81A-60D2C5DCC945}"/>
  <tableColumns count="16">
    <tableColumn id="1" xr3:uid="{B6A645ED-B9DF-4E1A-B7FE-5ED3AB3B9C84}" name="Firm Name " dataDxfId="142" dataCellStyle="40% - Accent6"/>
    <tableColumn id="2" xr3:uid="{15C441FB-0B58-4735-A1ED-9FC56EEA0CA9}" name="State" dataDxfId="141" dataCellStyle="40% - Accent6"/>
    <tableColumn id="3" xr3:uid="{92C81998-76C7-430B-97E6-8EDC08BDA459}" name="Invoice No." dataDxfId="140" dataCellStyle="40% - Accent6"/>
    <tableColumn id="4" xr3:uid="{6D17D213-879D-4089-AAFF-741BE952BA15}" name="Date" dataDxfId="139" dataCellStyle="40% - Accent6"/>
    <tableColumn id="5" xr3:uid="{BCCACD9E-D130-42BC-BFBC-D5449D54CE54}" name="Tax Rate" dataDxfId="138" dataCellStyle="40% - Accent6"/>
    <tableColumn id="6" xr3:uid="{DCD6FF30-87B4-41EE-8FA2-80473FACD060}" name="Description of Goods" dataDxfId="137" dataCellStyle="40% - Accent6"/>
    <tableColumn id="7" xr3:uid="{33F55977-F8B7-4D58-B7AA-2DE897D189C7}" name="Qty" dataDxfId="136" dataCellStyle="40% - Accent6"/>
    <tableColumn id="8" xr3:uid="{7F592B10-7940-48A4-8DD2-BBA2537173BD}" name="Unit" dataDxfId="135" dataCellStyle="40% - Accent6"/>
    <tableColumn id="9" xr3:uid="{C5A9A0A2-F714-4388-966E-233FEEB75C15}" name="Rate" dataDxfId="134" dataCellStyle="40% - Accent6"/>
    <tableColumn id="10" xr3:uid="{5A7AB646-F52E-46EB-8975-87B36727D081}" name="Taxable Value" dataDxfId="133"/>
    <tableColumn id="11" xr3:uid="{2ABDB985-1EA0-44B1-AAFD-620B0CD6F872}" name="IGST" dataDxfId="132" dataCellStyle="40% - Accent6"/>
    <tableColumn id="12" xr3:uid="{46516DBE-F9C3-4FC7-B12F-76466A95DE66}" name="CGST" dataDxfId="131" dataCellStyle="40% - Accent6"/>
    <tableColumn id="13" xr3:uid="{C7AC3153-A723-4558-8BC3-7AEC84EF7F5C}" name="SGST" dataDxfId="130" dataCellStyle="40% - Accent6"/>
    <tableColumn id="14" xr3:uid="{2F6B45E8-BBD4-4442-B05A-FC6C92991F72}" name="CESS" dataDxfId="129" dataCellStyle="40% - Accent6"/>
    <tableColumn id="15" xr3:uid="{6F4D4C8E-759F-4D52-B47C-21200CA1B9FD}" name="TOTAL" dataDxfId="128" dataCellStyle="40% - Accent6"/>
    <tableColumn id="16" xr3:uid="{D5A19924-AFCF-411A-A2BB-FD02E4BBF7CA}" name="INVOICE VALUE" dataDxfId="1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6"/>
  <sheetViews>
    <sheetView workbookViewId="0">
      <selection activeCell="H10" sqref="H10"/>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16</v>
      </c>
      <c r="B4">
        <v>410376.47000000003</v>
      </c>
    </row>
    <row r="5" spans="1:2" x14ac:dyDescent="0.3">
      <c r="A5" s="2" t="s">
        <v>22</v>
      </c>
      <c r="B5">
        <v>459587.38999999996</v>
      </c>
    </row>
    <row r="6" spans="1:2" x14ac:dyDescent="0.3">
      <c r="A6" s="2" t="s">
        <v>25</v>
      </c>
      <c r="B6">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3" t="s">
        <v>27</v>
      </c>
      <c r="B4">
        <v>21004</v>
      </c>
    </row>
    <row r="5" spans="1:2" x14ac:dyDescent="0.3">
      <c r="A5" s="3" t="s">
        <v>28</v>
      </c>
      <c r="B5">
        <v>229752.43999999997</v>
      </c>
    </row>
    <row r="6" spans="1:2" x14ac:dyDescent="0.3">
      <c r="A6" s="3" t="s">
        <v>29</v>
      </c>
      <c r="B6">
        <v>389805.09</v>
      </c>
    </row>
    <row r="7" spans="1:2" x14ac:dyDescent="0.3">
      <c r="A7" s="3" t="s">
        <v>30</v>
      </c>
      <c r="B7">
        <v>229402.33</v>
      </c>
    </row>
    <row r="8" spans="1:2" x14ac:dyDescent="0.3">
      <c r="A8" s="3" t="s">
        <v>25</v>
      </c>
      <c r="B8">
        <v>869963.86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s>
  <sheetFormatPr defaultRowHeight="14.4" x14ac:dyDescent="0.3"/>
  <cols>
    <col min="1" max="1" width="12.5546875" bestFit="1" customWidth="1"/>
    <col min="2" max="2" width="11.21875" bestFit="1" customWidth="1"/>
    <col min="3" max="3" width="11.77734375" bestFit="1" customWidth="1"/>
    <col min="4" max="4" width="11.6640625" bestFit="1" customWidth="1"/>
    <col min="5" max="6" width="12.88671875" bestFit="1" customWidth="1"/>
  </cols>
  <sheetData>
    <row r="3" spans="1:6" x14ac:dyDescent="0.3">
      <c r="A3" s="1" t="s">
        <v>24</v>
      </c>
      <c r="B3" t="s">
        <v>31</v>
      </c>
      <c r="C3" t="s">
        <v>32</v>
      </c>
      <c r="D3" t="s">
        <v>33</v>
      </c>
      <c r="E3" t="s">
        <v>34</v>
      </c>
      <c r="F3" t="s">
        <v>26</v>
      </c>
    </row>
    <row r="4" spans="1:6" x14ac:dyDescent="0.3">
      <c r="A4" s="4">
        <v>0</v>
      </c>
      <c r="B4">
        <v>0</v>
      </c>
      <c r="C4">
        <v>0</v>
      </c>
      <c r="D4">
        <v>0</v>
      </c>
      <c r="F4">
        <v>84740</v>
      </c>
    </row>
    <row r="5" spans="1:6" x14ac:dyDescent="0.3">
      <c r="A5" s="4">
        <v>1E-3</v>
      </c>
      <c r="B5">
        <v>0</v>
      </c>
      <c r="C5">
        <v>46.83</v>
      </c>
      <c r="D5">
        <v>46.83</v>
      </c>
      <c r="F5">
        <v>93753.659999999989</v>
      </c>
    </row>
    <row r="6" spans="1:6" x14ac:dyDescent="0.3">
      <c r="A6" s="4">
        <v>0.03</v>
      </c>
      <c r="B6">
        <v>1505.25</v>
      </c>
      <c r="C6">
        <v>1087.125</v>
      </c>
      <c r="D6">
        <v>1087.125</v>
      </c>
      <c r="F6">
        <v>126329.5</v>
      </c>
    </row>
    <row r="7" spans="1:6" x14ac:dyDescent="0.3">
      <c r="A7" s="4">
        <v>0.05</v>
      </c>
      <c r="B7">
        <v>1393.75</v>
      </c>
      <c r="C7">
        <v>2871.125</v>
      </c>
      <c r="D7">
        <v>2871.125</v>
      </c>
      <c r="F7">
        <v>149856</v>
      </c>
    </row>
    <row r="8" spans="1:6" x14ac:dyDescent="0.3">
      <c r="A8" s="4">
        <v>0.12</v>
      </c>
      <c r="B8">
        <v>0</v>
      </c>
      <c r="C8">
        <v>7559.4</v>
      </c>
      <c r="D8">
        <v>7559.4</v>
      </c>
      <c r="F8">
        <v>141108.79999999999</v>
      </c>
    </row>
    <row r="9" spans="1:6" x14ac:dyDescent="0.3">
      <c r="A9" s="4">
        <v>0.18</v>
      </c>
      <c r="B9">
        <v>8429.4</v>
      </c>
      <c r="C9">
        <v>3307.95</v>
      </c>
      <c r="D9">
        <v>3307.95</v>
      </c>
      <c r="F9">
        <v>98630.3</v>
      </c>
    </row>
    <row r="10" spans="1:6" x14ac:dyDescent="0.3">
      <c r="A10" s="4">
        <v>0.28000000000000003</v>
      </c>
      <c r="B10">
        <v>0</v>
      </c>
      <c r="C10">
        <v>19200.300000000003</v>
      </c>
      <c r="D10">
        <v>19200.300000000003</v>
      </c>
      <c r="F10">
        <v>175545.59999999998</v>
      </c>
    </row>
    <row r="11" spans="1:6" x14ac:dyDescent="0.3">
      <c r="A11" s="4" t="s">
        <v>25</v>
      </c>
      <c r="B11">
        <v>11328.4</v>
      </c>
      <c r="C11">
        <v>34072.730000000003</v>
      </c>
      <c r="D11">
        <v>34072.730000000003</v>
      </c>
      <c r="F11">
        <v>869963.8600000001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20</v>
      </c>
      <c r="B4">
        <v>427057.24</v>
      </c>
    </row>
    <row r="5" spans="1:2" x14ac:dyDescent="0.3">
      <c r="A5" s="2" t="s">
        <v>18</v>
      </c>
      <c r="B5">
        <v>442906.61999999994</v>
      </c>
    </row>
    <row r="6" spans="1:2" x14ac:dyDescent="0.3">
      <c r="A6" s="2" t="s">
        <v>25</v>
      </c>
      <c r="B6">
        <v>869963.85999999987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P37"/>
  <sheetViews>
    <sheetView topLeftCell="A73" zoomScale="78" zoomScaleNormal="85" workbookViewId="0">
      <selection activeCell="F45" sqref="F45"/>
    </sheetView>
  </sheetViews>
  <sheetFormatPr defaultRowHeight="14.4" x14ac:dyDescent="0.3"/>
  <cols>
    <col min="1" max="1" width="16.33203125" customWidth="1"/>
    <col min="2" max="2" width="12.88671875" bestFit="1" customWidth="1"/>
    <col min="3" max="3" width="16.109375" customWidth="1"/>
    <col min="4" max="4" width="13.88671875" customWidth="1"/>
    <col min="5" max="5" width="13" customWidth="1"/>
    <col min="6" max="6" width="27.33203125" customWidth="1"/>
    <col min="7" max="7" width="8.44140625" customWidth="1"/>
    <col min="8" max="8" width="8.5546875" customWidth="1"/>
    <col min="9" max="9" width="10.88671875" customWidth="1"/>
    <col min="10" max="10" width="19" customWidth="1"/>
    <col min="11" max="11" width="9.5546875" bestFit="1" customWidth="1"/>
    <col min="12" max="12" width="10.44140625" customWidth="1"/>
    <col min="13" max="13" width="10.5546875" customWidth="1"/>
    <col min="14" max="14" width="8.5546875" customWidth="1"/>
    <col min="15" max="15" width="12.5546875" customWidth="1"/>
    <col min="16" max="16" width="20.5546875" customWidth="1"/>
  </cols>
  <sheetData>
    <row r="1" spans="1:16" ht="18" x14ac:dyDescent="0.3">
      <c r="A1" s="24" t="s">
        <v>0</v>
      </c>
      <c r="B1" s="25" t="s">
        <v>1</v>
      </c>
      <c r="C1" s="25" t="s">
        <v>2</v>
      </c>
      <c r="D1" s="25" t="s">
        <v>3</v>
      </c>
      <c r="E1" s="26" t="s">
        <v>4</v>
      </c>
      <c r="F1" s="26" t="s">
        <v>5</v>
      </c>
      <c r="G1" s="26" t="s">
        <v>6</v>
      </c>
      <c r="H1" s="26" t="s">
        <v>7</v>
      </c>
      <c r="I1" s="26" t="s">
        <v>8</v>
      </c>
      <c r="J1" s="27" t="s">
        <v>9</v>
      </c>
      <c r="K1" s="27" t="s">
        <v>10</v>
      </c>
      <c r="L1" s="27" t="s">
        <v>11</v>
      </c>
      <c r="M1" s="27" t="s">
        <v>12</v>
      </c>
      <c r="N1" s="27" t="s">
        <v>13</v>
      </c>
      <c r="O1" s="27" t="s">
        <v>14</v>
      </c>
      <c r="P1" s="25" t="s">
        <v>15</v>
      </c>
    </row>
    <row r="2" spans="1:16" ht="15.6" x14ac:dyDescent="0.3">
      <c r="A2" s="22" t="s">
        <v>16</v>
      </c>
      <c r="B2" s="6" t="s">
        <v>17</v>
      </c>
      <c r="C2" s="6">
        <v>23</v>
      </c>
      <c r="D2" s="7">
        <v>43922</v>
      </c>
      <c r="E2" s="8">
        <v>0.18</v>
      </c>
      <c r="F2" s="6" t="s">
        <v>18</v>
      </c>
      <c r="G2" s="6">
        <v>8</v>
      </c>
      <c r="H2" s="8" t="s">
        <v>19</v>
      </c>
      <c r="I2" s="9">
        <v>2225</v>
      </c>
      <c r="J2" s="10">
        <v>17800</v>
      </c>
      <c r="K2" s="11">
        <v>0</v>
      </c>
      <c r="L2" s="11">
        <v>1602</v>
      </c>
      <c r="M2" s="11">
        <v>1602</v>
      </c>
      <c r="N2" s="11"/>
      <c r="O2" s="11">
        <v>21004</v>
      </c>
      <c r="P2" s="10">
        <v>21004</v>
      </c>
    </row>
    <row r="3" spans="1:16" ht="15.6" x14ac:dyDescent="0.3">
      <c r="A3" s="23" t="s">
        <v>16</v>
      </c>
      <c r="B3" s="12" t="s">
        <v>17</v>
      </c>
      <c r="C3" s="12">
        <v>24</v>
      </c>
      <c r="D3" s="13">
        <v>43986</v>
      </c>
      <c r="E3" s="14">
        <v>0.12</v>
      </c>
      <c r="F3" s="12" t="s">
        <v>20</v>
      </c>
      <c r="G3" s="12">
        <v>2</v>
      </c>
      <c r="H3" s="14" t="s">
        <v>19</v>
      </c>
      <c r="I3" s="15">
        <v>1670</v>
      </c>
      <c r="J3" s="16">
        <v>3340</v>
      </c>
      <c r="K3" s="17">
        <v>0</v>
      </c>
      <c r="L3" s="17">
        <v>200.4</v>
      </c>
      <c r="M3" s="17">
        <v>200.4</v>
      </c>
      <c r="N3" s="17"/>
      <c r="O3" s="17">
        <v>3740.8</v>
      </c>
      <c r="P3" s="16">
        <v>3740.8</v>
      </c>
    </row>
    <row r="4" spans="1:16" ht="15.6" x14ac:dyDescent="0.3">
      <c r="A4" s="22" t="s">
        <v>16</v>
      </c>
      <c r="B4" s="6" t="s">
        <v>17</v>
      </c>
      <c r="C4" s="6">
        <v>25</v>
      </c>
      <c r="D4" s="7">
        <v>44016</v>
      </c>
      <c r="E4" s="8">
        <v>0.03</v>
      </c>
      <c r="F4" s="6" t="s">
        <v>18</v>
      </c>
      <c r="G4" s="6">
        <v>10</v>
      </c>
      <c r="H4" s="8" t="s">
        <v>19</v>
      </c>
      <c r="I4" s="9">
        <v>1115</v>
      </c>
      <c r="J4" s="10">
        <v>11150</v>
      </c>
      <c r="K4" s="11">
        <v>0</v>
      </c>
      <c r="L4" s="11">
        <v>167.25</v>
      </c>
      <c r="M4" s="11">
        <v>167.25</v>
      </c>
      <c r="N4" s="11"/>
      <c r="O4" s="11">
        <v>11484.5</v>
      </c>
      <c r="P4" s="10">
        <v>11484.5</v>
      </c>
    </row>
    <row r="5" spans="1:16" ht="15.6" x14ac:dyDescent="0.3">
      <c r="A5" s="23" t="s">
        <v>16</v>
      </c>
      <c r="B5" s="12" t="s">
        <v>21</v>
      </c>
      <c r="C5" s="12">
        <v>26</v>
      </c>
      <c r="D5" s="13">
        <v>43956</v>
      </c>
      <c r="E5" s="14">
        <v>0</v>
      </c>
      <c r="F5" s="12" t="s">
        <v>20</v>
      </c>
      <c r="G5" s="12">
        <v>3</v>
      </c>
      <c r="H5" s="14" t="s">
        <v>19</v>
      </c>
      <c r="I5" s="15">
        <v>1115</v>
      </c>
      <c r="J5" s="16">
        <v>3345</v>
      </c>
      <c r="K5" s="17">
        <v>0</v>
      </c>
      <c r="L5" s="17">
        <v>0</v>
      </c>
      <c r="M5" s="17">
        <v>0</v>
      </c>
      <c r="N5" s="17"/>
      <c r="O5" s="17">
        <v>3345</v>
      </c>
      <c r="P5" s="16">
        <v>3345</v>
      </c>
    </row>
    <row r="6" spans="1:16" ht="15.6" x14ac:dyDescent="0.3">
      <c r="A6" s="22" t="s">
        <v>16</v>
      </c>
      <c r="B6" s="6" t="s">
        <v>17</v>
      </c>
      <c r="C6" s="6">
        <v>27</v>
      </c>
      <c r="D6" s="7">
        <v>43987</v>
      </c>
      <c r="E6" s="8">
        <v>0.28000000000000003</v>
      </c>
      <c r="F6" s="6" t="s">
        <v>18</v>
      </c>
      <c r="G6" s="6">
        <v>4</v>
      </c>
      <c r="H6" s="8" t="s">
        <v>19</v>
      </c>
      <c r="I6" s="9">
        <v>1115</v>
      </c>
      <c r="J6" s="10">
        <v>4460</v>
      </c>
      <c r="K6" s="11">
        <v>0</v>
      </c>
      <c r="L6" s="11">
        <v>624.40000000000009</v>
      </c>
      <c r="M6" s="11">
        <v>624.40000000000009</v>
      </c>
      <c r="N6" s="11"/>
      <c r="O6" s="11">
        <v>5708.7999999999993</v>
      </c>
      <c r="P6" s="10">
        <v>5708.7999999999993</v>
      </c>
    </row>
    <row r="7" spans="1:16" ht="15.6" x14ac:dyDescent="0.3">
      <c r="A7" s="23" t="s">
        <v>16</v>
      </c>
      <c r="B7" s="12" t="s">
        <v>17</v>
      </c>
      <c r="C7" s="12">
        <v>28</v>
      </c>
      <c r="D7" s="13">
        <v>44017</v>
      </c>
      <c r="E7" s="14">
        <v>0.05</v>
      </c>
      <c r="F7" s="12" t="s">
        <v>20</v>
      </c>
      <c r="G7" s="12">
        <v>24</v>
      </c>
      <c r="H7" s="14" t="s">
        <v>19</v>
      </c>
      <c r="I7" s="15">
        <v>1115</v>
      </c>
      <c r="J7" s="16">
        <v>26760</v>
      </c>
      <c r="K7" s="17">
        <v>0</v>
      </c>
      <c r="L7" s="17">
        <v>669</v>
      </c>
      <c r="M7" s="17">
        <v>669</v>
      </c>
      <c r="N7" s="17"/>
      <c r="O7" s="17">
        <v>28098</v>
      </c>
      <c r="P7" s="16">
        <v>28098</v>
      </c>
    </row>
    <row r="8" spans="1:16" ht="15.6" x14ac:dyDescent="0.3">
      <c r="A8" s="22" t="s">
        <v>16</v>
      </c>
      <c r="B8" s="6" t="s">
        <v>17</v>
      </c>
      <c r="C8" s="6">
        <v>29</v>
      </c>
      <c r="D8" s="7">
        <v>43957</v>
      </c>
      <c r="E8" s="8">
        <v>1E-3</v>
      </c>
      <c r="F8" s="6" t="s">
        <v>18</v>
      </c>
      <c r="G8" s="6">
        <v>30</v>
      </c>
      <c r="H8" s="8" t="s">
        <v>19</v>
      </c>
      <c r="I8" s="9">
        <v>1115</v>
      </c>
      <c r="J8" s="10">
        <v>33450</v>
      </c>
      <c r="K8" s="11">
        <v>0</v>
      </c>
      <c r="L8" s="11">
        <v>16.725000000000001</v>
      </c>
      <c r="M8" s="11">
        <v>16.725000000000001</v>
      </c>
      <c r="N8" s="11"/>
      <c r="O8" s="11">
        <v>33483.449999999997</v>
      </c>
      <c r="P8" s="10">
        <v>33483.449999999997</v>
      </c>
    </row>
    <row r="9" spans="1:16" ht="15.6" x14ac:dyDescent="0.3">
      <c r="A9" s="23" t="s">
        <v>16</v>
      </c>
      <c r="B9" s="12" t="s">
        <v>17</v>
      </c>
      <c r="C9" s="12">
        <v>30</v>
      </c>
      <c r="D9" s="13">
        <v>43988</v>
      </c>
      <c r="E9" s="14">
        <v>0.03</v>
      </c>
      <c r="F9" s="12" t="s">
        <v>20</v>
      </c>
      <c r="G9" s="12">
        <v>12</v>
      </c>
      <c r="H9" s="14" t="s">
        <v>19</v>
      </c>
      <c r="I9" s="15">
        <v>1115</v>
      </c>
      <c r="J9" s="16">
        <v>13380</v>
      </c>
      <c r="K9" s="17">
        <v>0</v>
      </c>
      <c r="L9" s="17">
        <v>200.7</v>
      </c>
      <c r="M9" s="17">
        <v>200.7</v>
      </c>
      <c r="N9" s="17"/>
      <c r="O9" s="17">
        <v>13781.400000000001</v>
      </c>
      <c r="P9" s="16">
        <v>13781.400000000001</v>
      </c>
    </row>
    <row r="10" spans="1:16" ht="15.6" x14ac:dyDescent="0.3">
      <c r="A10" s="22" t="s">
        <v>22</v>
      </c>
      <c r="B10" s="6" t="s">
        <v>17</v>
      </c>
      <c r="C10" s="6">
        <v>31</v>
      </c>
      <c r="D10" s="7">
        <v>44018</v>
      </c>
      <c r="E10" s="8">
        <v>0.18</v>
      </c>
      <c r="F10" s="6" t="s">
        <v>18</v>
      </c>
      <c r="G10" s="6">
        <v>17</v>
      </c>
      <c r="H10" s="8" t="s">
        <v>19</v>
      </c>
      <c r="I10" s="9">
        <v>1115</v>
      </c>
      <c r="J10" s="10">
        <v>18955</v>
      </c>
      <c r="K10" s="11">
        <v>0</v>
      </c>
      <c r="L10" s="11">
        <v>1705.95</v>
      </c>
      <c r="M10" s="11">
        <v>1705.95</v>
      </c>
      <c r="N10" s="11"/>
      <c r="O10" s="11">
        <v>22366.9</v>
      </c>
      <c r="P10" s="10">
        <v>22366.9</v>
      </c>
    </row>
    <row r="11" spans="1:16" ht="15.6" x14ac:dyDescent="0.3">
      <c r="A11" s="23" t="s">
        <v>22</v>
      </c>
      <c r="B11" s="12" t="s">
        <v>17</v>
      </c>
      <c r="C11" s="12">
        <v>32</v>
      </c>
      <c r="D11" s="13">
        <v>43958</v>
      </c>
      <c r="E11" s="14">
        <v>1E-3</v>
      </c>
      <c r="F11" s="12" t="s">
        <v>20</v>
      </c>
      <c r="G11" s="12">
        <v>16</v>
      </c>
      <c r="H11" s="14" t="s">
        <v>19</v>
      </c>
      <c r="I11" s="15">
        <v>1115</v>
      </c>
      <c r="J11" s="16">
        <v>17840</v>
      </c>
      <c r="K11" s="17">
        <v>0</v>
      </c>
      <c r="L11" s="17">
        <v>8.92</v>
      </c>
      <c r="M11" s="17">
        <v>8.92</v>
      </c>
      <c r="N11" s="17"/>
      <c r="O11" s="17">
        <v>17857.839999999997</v>
      </c>
      <c r="P11" s="16">
        <v>17857.839999999997</v>
      </c>
    </row>
    <row r="12" spans="1:16" ht="15.6" x14ac:dyDescent="0.3">
      <c r="A12" s="22" t="s">
        <v>22</v>
      </c>
      <c r="B12" s="6" t="s">
        <v>17</v>
      </c>
      <c r="C12" s="6">
        <v>33</v>
      </c>
      <c r="D12" s="7">
        <v>43989</v>
      </c>
      <c r="E12" s="8">
        <v>0.28000000000000003</v>
      </c>
      <c r="F12" s="6" t="s">
        <v>18</v>
      </c>
      <c r="G12" s="6">
        <v>50</v>
      </c>
      <c r="H12" s="8" t="s">
        <v>19</v>
      </c>
      <c r="I12" s="9">
        <v>1115</v>
      </c>
      <c r="J12" s="10">
        <v>55750</v>
      </c>
      <c r="K12" s="11">
        <v>0</v>
      </c>
      <c r="L12" s="11">
        <v>7805.0000000000009</v>
      </c>
      <c r="M12" s="11">
        <v>7805.0000000000009</v>
      </c>
      <c r="N12" s="11"/>
      <c r="O12" s="11">
        <v>71360</v>
      </c>
      <c r="P12" s="10">
        <v>71360</v>
      </c>
    </row>
    <row r="13" spans="1:16" ht="15.6" x14ac:dyDescent="0.3">
      <c r="A13" s="23" t="s">
        <v>22</v>
      </c>
      <c r="B13" s="12" t="s">
        <v>17</v>
      </c>
      <c r="C13" s="12">
        <v>34</v>
      </c>
      <c r="D13" s="13">
        <v>44019</v>
      </c>
      <c r="E13" s="14">
        <v>0</v>
      </c>
      <c r="F13" s="12" t="s">
        <v>20</v>
      </c>
      <c r="G13" s="12">
        <v>21</v>
      </c>
      <c r="H13" s="14" t="s">
        <v>19</v>
      </c>
      <c r="I13" s="15">
        <v>1115</v>
      </c>
      <c r="J13" s="16">
        <v>23415</v>
      </c>
      <c r="K13" s="17">
        <v>0</v>
      </c>
      <c r="L13" s="17">
        <v>0</v>
      </c>
      <c r="M13" s="17">
        <v>0</v>
      </c>
      <c r="N13" s="17"/>
      <c r="O13" s="17">
        <v>23415</v>
      </c>
      <c r="P13" s="16">
        <v>23415</v>
      </c>
    </row>
    <row r="14" spans="1:16" ht="15.6" x14ac:dyDescent="0.3">
      <c r="A14" s="22" t="s">
        <v>16</v>
      </c>
      <c r="B14" s="6" t="s">
        <v>21</v>
      </c>
      <c r="C14" s="6">
        <v>35</v>
      </c>
      <c r="D14" s="7">
        <v>43959</v>
      </c>
      <c r="E14" s="18">
        <v>0.05</v>
      </c>
      <c r="F14" s="6" t="s">
        <v>18</v>
      </c>
      <c r="G14" s="19">
        <v>25</v>
      </c>
      <c r="H14" s="8" t="s">
        <v>19</v>
      </c>
      <c r="I14" s="9">
        <v>1115</v>
      </c>
      <c r="J14" s="10">
        <v>27875</v>
      </c>
      <c r="K14" s="11">
        <v>1393.75</v>
      </c>
      <c r="L14" s="11">
        <v>0</v>
      </c>
      <c r="M14" s="11">
        <v>0</v>
      </c>
      <c r="N14" s="11"/>
      <c r="O14" s="11">
        <v>29268.75</v>
      </c>
      <c r="P14" s="10">
        <v>29268.75</v>
      </c>
    </row>
    <row r="15" spans="1:16" ht="15.6" x14ac:dyDescent="0.3">
      <c r="A15" s="23" t="s">
        <v>16</v>
      </c>
      <c r="B15" s="12" t="s">
        <v>21</v>
      </c>
      <c r="C15" s="12">
        <v>36</v>
      </c>
      <c r="D15" s="13">
        <v>43990</v>
      </c>
      <c r="E15" s="20">
        <v>0.18</v>
      </c>
      <c r="F15" s="12" t="s">
        <v>20</v>
      </c>
      <c r="G15" s="21">
        <v>42</v>
      </c>
      <c r="H15" s="14" t="s">
        <v>19</v>
      </c>
      <c r="I15" s="15">
        <v>1115</v>
      </c>
      <c r="J15" s="16">
        <v>46830</v>
      </c>
      <c r="K15" s="17">
        <v>8429.4</v>
      </c>
      <c r="L15" s="17">
        <v>0</v>
      </c>
      <c r="M15" s="17">
        <v>0</v>
      </c>
      <c r="N15" s="17"/>
      <c r="O15" s="17">
        <v>55259.4</v>
      </c>
      <c r="P15" s="16">
        <v>55259.4</v>
      </c>
    </row>
    <row r="16" spans="1:16" ht="15.6" x14ac:dyDescent="0.3">
      <c r="A16" s="22" t="s">
        <v>16</v>
      </c>
      <c r="B16" s="6" t="s">
        <v>23</v>
      </c>
      <c r="C16" s="6">
        <v>37</v>
      </c>
      <c r="D16" s="7">
        <v>44020</v>
      </c>
      <c r="E16" s="18">
        <v>1E-3</v>
      </c>
      <c r="F16" s="6" t="s">
        <v>18</v>
      </c>
      <c r="G16" s="19">
        <v>32</v>
      </c>
      <c r="H16" s="8" t="s">
        <v>19</v>
      </c>
      <c r="I16" s="9">
        <v>1115</v>
      </c>
      <c r="J16" s="10">
        <v>35680</v>
      </c>
      <c r="K16" s="11">
        <v>0</v>
      </c>
      <c r="L16" s="11">
        <v>17.84</v>
      </c>
      <c r="M16" s="11">
        <v>17.84</v>
      </c>
      <c r="N16" s="11"/>
      <c r="O16" s="11">
        <v>35715.679999999993</v>
      </c>
      <c r="P16" s="10">
        <v>35715.679999999993</v>
      </c>
    </row>
    <row r="17" spans="1:16" ht="15.6" x14ac:dyDescent="0.3">
      <c r="A17" s="23" t="s">
        <v>16</v>
      </c>
      <c r="B17" s="12" t="s">
        <v>23</v>
      </c>
      <c r="C17" s="12">
        <v>38</v>
      </c>
      <c r="D17" s="13">
        <v>43960</v>
      </c>
      <c r="E17" s="20">
        <v>0</v>
      </c>
      <c r="F17" s="12" t="s">
        <v>20</v>
      </c>
      <c r="G17" s="21">
        <v>10</v>
      </c>
      <c r="H17" s="14" t="s">
        <v>19</v>
      </c>
      <c r="I17" s="15">
        <v>1115</v>
      </c>
      <c r="J17" s="16">
        <v>11150</v>
      </c>
      <c r="K17" s="17">
        <v>0</v>
      </c>
      <c r="L17" s="17">
        <v>0</v>
      </c>
      <c r="M17" s="17">
        <v>0</v>
      </c>
      <c r="N17" s="17"/>
      <c r="O17" s="17">
        <v>11150</v>
      </c>
      <c r="P17" s="16">
        <v>11150</v>
      </c>
    </row>
    <row r="18" spans="1:16" ht="15.6" x14ac:dyDescent="0.3">
      <c r="A18" s="22" t="s">
        <v>16</v>
      </c>
      <c r="B18" s="6" t="s">
        <v>23</v>
      </c>
      <c r="C18" s="6">
        <v>39</v>
      </c>
      <c r="D18" s="7">
        <v>43991</v>
      </c>
      <c r="E18" s="18">
        <v>0.28000000000000003</v>
      </c>
      <c r="F18" s="6" t="s">
        <v>18</v>
      </c>
      <c r="G18" s="19">
        <v>20</v>
      </c>
      <c r="H18" s="8" t="s">
        <v>19</v>
      </c>
      <c r="I18" s="9">
        <v>1115</v>
      </c>
      <c r="J18" s="10">
        <v>22300</v>
      </c>
      <c r="K18" s="11">
        <v>0</v>
      </c>
      <c r="L18" s="11">
        <v>3122.0000000000005</v>
      </c>
      <c r="M18" s="11">
        <v>3122.0000000000005</v>
      </c>
      <c r="N18" s="11"/>
      <c r="O18" s="11">
        <v>28544</v>
      </c>
      <c r="P18" s="10">
        <v>28544</v>
      </c>
    </row>
    <row r="19" spans="1:16" ht="15.6" x14ac:dyDescent="0.3">
      <c r="A19" s="23" t="s">
        <v>22</v>
      </c>
      <c r="B19" s="12" t="s">
        <v>23</v>
      </c>
      <c r="C19" s="12">
        <v>40</v>
      </c>
      <c r="D19" s="13">
        <v>44021</v>
      </c>
      <c r="E19" s="20">
        <v>0.12</v>
      </c>
      <c r="F19" s="12" t="s">
        <v>20</v>
      </c>
      <c r="G19" s="21">
        <v>30</v>
      </c>
      <c r="H19" s="14" t="s">
        <v>19</v>
      </c>
      <c r="I19" s="15">
        <v>1115</v>
      </c>
      <c r="J19" s="16">
        <v>33450</v>
      </c>
      <c r="K19" s="17">
        <v>0</v>
      </c>
      <c r="L19" s="17">
        <v>2007</v>
      </c>
      <c r="M19" s="17">
        <v>2007</v>
      </c>
      <c r="N19" s="17"/>
      <c r="O19" s="17">
        <v>37464</v>
      </c>
      <c r="P19" s="16">
        <v>37464</v>
      </c>
    </row>
    <row r="20" spans="1:16" ht="15.6" x14ac:dyDescent="0.3">
      <c r="A20" s="22" t="s">
        <v>22</v>
      </c>
      <c r="B20" s="6" t="s">
        <v>21</v>
      </c>
      <c r="C20" s="6">
        <v>41</v>
      </c>
      <c r="D20" s="7">
        <v>43961</v>
      </c>
      <c r="E20" s="18">
        <v>0.03</v>
      </c>
      <c r="F20" s="6" t="s">
        <v>18</v>
      </c>
      <c r="G20" s="19">
        <v>45</v>
      </c>
      <c r="H20" s="8" t="s">
        <v>19</v>
      </c>
      <c r="I20" s="9">
        <v>1115</v>
      </c>
      <c r="J20" s="10">
        <v>50175</v>
      </c>
      <c r="K20" s="11">
        <v>1505.25</v>
      </c>
      <c r="L20" s="11">
        <v>0</v>
      </c>
      <c r="M20" s="11">
        <v>0</v>
      </c>
      <c r="N20" s="11"/>
      <c r="O20" s="11">
        <v>51680.25</v>
      </c>
      <c r="P20" s="10">
        <v>51680.25</v>
      </c>
    </row>
    <row r="21" spans="1:16" ht="15.6" x14ac:dyDescent="0.3">
      <c r="A21" s="23" t="s">
        <v>22</v>
      </c>
      <c r="B21" s="12" t="s">
        <v>23</v>
      </c>
      <c r="C21" s="12">
        <v>42</v>
      </c>
      <c r="D21" s="13">
        <v>43992</v>
      </c>
      <c r="E21" s="20">
        <v>0.05</v>
      </c>
      <c r="F21" s="12" t="s">
        <v>20</v>
      </c>
      <c r="G21" s="21">
        <v>62</v>
      </c>
      <c r="H21" s="14" t="s">
        <v>19</v>
      </c>
      <c r="I21" s="15">
        <v>1115</v>
      </c>
      <c r="J21" s="16">
        <v>69130</v>
      </c>
      <c r="K21" s="17">
        <v>0</v>
      </c>
      <c r="L21" s="17">
        <v>1728.25</v>
      </c>
      <c r="M21" s="17">
        <v>1728.25</v>
      </c>
      <c r="N21" s="17"/>
      <c r="O21" s="17">
        <v>72586.5</v>
      </c>
      <c r="P21" s="16">
        <v>72586.5</v>
      </c>
    </row>
    <row r="22" spans="1:16" ht="15.6" x14ac:dyDescent="0.3">
      <c r="A22" s="22" t="s">
        <v>22</v>
      </c>
      <c r="B22" s="6" t="s">
        <v>23</v>
      </c>
      <c r="C22" s="6">
        <v>43</v>
      </c>
      <c r="D22" s="7">
        <v>44022</v>
      </c>
      <c r="E22" s="18">
        <v>0</v>
      </c>
      <c r="F22" s="6" t="s">
        <v>18</v>
      </c>
      <c r="G22" s="19">
        <v>12</v>
      </c>
      <c r="H22" s="8" t="s">
        <v>19</v>
      </c>
      <c r="I22" s="9">
        <v>1115</v>
      </c>
      <c r="J22" s="10">
        <v>13380</v>
      </c>
      <c r="K22" s="11">
        <v>0</v>
      </c>
      <c r="L22" s="11">
        <v>0</v>
      </c>
      <c r="M22" s="11">
        <v>0</v>
      </c>
      <c r="N22" s="11"/>
      <c r="O22" s="11">
        <v>13380</v>
      </c>
      <c r="P22" s="10">
        <v>13380</v>
      </c>
    </row>
    <row r="23" spans="1:16" ht="15.6" x14ac:dyDescent="0.3">
      <c r="A23" s="23" t="s">
        <v>22</v>
      </c>
      <c r="B23" s="12" t="s">
        <v>23</v>
      </c>
      <c r="C23" s="12">
        <v>44</v>
      </c>
      <c r="D23" s="13">
        <v>43962</v>
      </c>
      <c r="E23" s="20">
        <v>0</v>
      </c>
      <c r="F23" s="12" t="s">
        <v>20</v>
      </c>
      <c r="G23" s="21">
        <v>25</v>
      </c>
      <c r="H23" s="14" t="s">
        <v>19</v>
      </c>
      <c r="I23" s="15">
        <v>1115</v>
      </c>
      <c r="J23" s="16">
        <v>27875</v>
      </c>
      <c r="K23" s="17">
        <v>0</v>
      </c>
      <c r="L23" s="17">
        <v>0</v>
      </c>
      <c r="M23" s="17">
        <v>0</v>
      </c>
      <c r="N23" s="17"/>
      <c r="O23" s="17">
        <v>27875</v>
      </c>
      <c r="P23" s="16">
        <v>27875</v>
      </c>
    </row>
    <row r="24" spans="1:16" ht="15.6" x14ac:dyDescent="0.3">
      <c r="A24" s="22" t="s">
        <v>22</v>
      </c>
      <c r="B24" s="6" t="s">
        <v>23</v>
      </c>
      <c r="C24" s="6">
        <v>45</v>
      </c>
      <c r="D24" s="7">
        <v>43993</v>
      </c>
      <c r="E24" s="18">
        <v>0.12</v>
      </c>
      <c r="F24" s="6" t="s">
        <v>18</v>
      </c>
      <c r="G24" s="19">
        <v>45</v>
      </c>
      <c r="H24" s="8" t="s">
        <v>19</v>
      </c>
      <c r="I24" s="9">
        <v>1115</v>
      </c>
      <c r="J24" s="10">
        <v>50175</v>
      </c>
      <c r="K24" s="11">
        <v>0</v>
      </c>
      <c r="L24" s="11">
        <v>3010.5</v>
      </c>
      <c r="M24" s="11">
        <v>3010.5</v>
      </c>
      <c r="N24" s="11"/>
      <c r="O24" s="11">
        <v>56196</v>
      </c>
      <c r="P24" s="10">
        <v>56196</v>
      </c>
    </row>
    <row r="25" spans="1:16" ht="15.6" x14ac:dyDescent="0.3">
      <c r="A25" s="23" t="s">
        <v>22</v>
      </c>
      <c r="B25" s="12" t="s">
        <v>23</v>
      </c>
      <c r="C25" s="12">
        <v>46</v>
      </c>
      <c r="D25" s="13">
        <v>44023</v>
      </c>
      <c r="E25" s="20">
        <v>0.12</v>
      </c>
      <c r="F25" s="12" t="s">
        <v>20</v>
      </c>
      <c r="G25" s="21">
        <v>20</v>
      </c>
      <c r="H25" s="14" t="s">
        <v>19</v>
      </c>
      <c r="I25" s="15">
        <v>1115</v>
      </c>
      <c r="J25" s="16">
        <v>22300</v>
      </c>
      <c r="K25" s="17">
        <v>0</v>
      </c>
      <c r="L25" s="17">
        <v>1338</v>
      </c>
      <c r="M25" s="17">
        <v>1338</v>
      </c>
      <c r="N25" s="17"/>
      <c r="O25" s="17">
        <v>24976</v>
      </c>
      <c r="P25" s="16">
        <v>24976</v>
      </c>
    </row>
    <row r="26" spans="1:16" ht="15.6" x14ac:dyDescent="0.3">
      <c r="A26" s="22" t="s">
        <v>22</v>
      </c>
      <c r="B26" s="6" t="s">
        <v>23</v>
      </c>
      <c r="C26" s="6">
        <v>47</v>
      </c>
      <c r="D26" s="7">
        <v>43963</v>
      </c>
      <c r="E26" s="18">
        <v>0.03</v>
      </c>
      <c r="F26" s="6" t="s">
        <v>18</v>
      </c>
      <c r="G26" s="19">
        <v>10</v>
      </c>
      <c r="H26" s="8" t="s">
        <v>19</v>
      </c>
      <c r="I26" s="9">
        <v>1115</v>
      </c>
      <c r="J26" s="10">
        <v>11150</v>
      </c>
      <c r="K26" s="11">
        <v>0</v>
      </c>
      <c r="L26" s="11">
        <v>167.25</v>
      </c>
      <c r="M26" s="11">
        <v>167.25</v>
      </c>
      <c r="N26" s="11"/>
      <c r="O26" s="11">
        <v>11484.5</v>
      </c>
      <c r="P26" s="10">
        <v>11484.5</v>
      </c>
    </row>
    <row r="27" spans="1:16" ht="15.6" x14ac:dyDescent="0.3">
      <c r="A27" s="23" t="s">
        <v>16</v>
      </c>
      <c r="B27" s="12" t="s">
        <v>23</v>
      </c>
      <c r="C27" s="12">
        <v>48</v>
      </c>
      <c r="D27" s="13">
        <v>43994</v>
      </c>
      <c r="E27" s="20">
        <v>0.28000000000000003</v>
      </c>
      <c r="F27" s="12" t="s">
        <v>20</v>
      </c>
      <c r="G27" s="21">
        <v>35</v>
      </c>
      <c r="H27" s="14" t="s">
        <v>19</v>
      </c>
      <c r="I27" s="15">
        <v>1115</v>
      </c>
      <c r="J27" s="16">
        <v>39025</v>
      </c>
      <c r="K27" s="17">
        <v>0</v>
      </c>
      <c r="L27" s="17">
        <v>5463.5000000000009</v>
      </c>
      <c r="M27" s="17">
        <v>5463.5000000000009</v>
      </c>
      <c r="N27" s="17"/>
      <c r="O27" s="17">
        <v>49952</v>
      </c>
      <c r="P27" s="16">
        <v>49952</v>
      </c>
    </row>
    <row r="28" spans="1:16" ht="15.6" x14ac:dyDescent="0.3">
      <c r="A28" s="22" t="s">
        <v>16</v>
      </c>
      <c r="B28" s="6" t="s">
        <v>23</v>
      </c>
      <c r="C28" s="6">
        <v>49</v>
      </c>
      <c r="D28" s="7">
        <v>44024</v>
      </c>
      <c r="E28" s="18">
        <v>0.12</v>
      </c>
      <c r="F28" s="6" t="s">
        <v>18</v>
      </c>
      <c r="G28" s="19">
        <v>15</v>
      </c>
      <c r="H28" s="8" t="s">
        <v>19</v>
      </c>
      <c r="I28" s="9">
        <v>1115</v>
      </c>
      <c r="J28" s="10">
        <v>16725</v>
      </c>
      <c r="K28" s="11">
        <v>0</v>
      </c>
      <c r="L28" s="11">
        <v>1003.5</v>
      </c>
      <c r="M28" s="11">
        <v>1003.5</v>
      </c>
      <c r="N28" s="11"/>
      <c r="O28" s="11">
        <v>18732</v>
      </c>
      <c r="P28" s="10">
        <v>18732</v>
      </c>
    </row>
    <row r="29" spans="1:16" ht="15.6" x14ac:dyDescent="0.3">
      <c r="A29" s="23" t="s">
        <v>16</v>
      </c>
      <c r="B29" s="12" t="s">
        <v>23</v>
      </c>
      <c r="C29" s="12">
        <v>50</v>
      </c>
      <c r="D29" s="13">
        <v>44317</v>
      </c>
      <c r="E29" s="20">
        <v>0.03</v>
      </c>
      <c r="F29" s="12" t="s">
        <v>20</v>
      </c>
      <c r="G29" s="21">
        <v>25</v>
      </c>
      <c r="H29" s="14" t="s">
        <v>19</v>
      </c>
      <c r="I29" s="15">
        <v>1115</v>
      </c>
      <c r="J29" s="16">
        <v>27875</v>
      </c>
      <c r="K29" s="17">
        <v>0</v>
      </c>
      <c r="L29" s="17">
        <v>418.125</v>
      </c>
      <c r="M29" s="17">
        <v>418.125</v>
      </c>
      <c r="N29" s="17"/>
      <c r="O29" s="17">
        <v>28711.25</v>
      </c>
      <c r="P29" s="16">
        <v>28711.25</v>
      </c>
    </row>
    <row r="30" spans="1:16" ht="15.6" x14ac:dyDescent="0.3">
      <c r="A30" s="22" t="s">
        <v>16</v>
      </c>
      <c r="B30" s="6" t="s">
        <v>23</v>
      </c>
      <c r="C30" s="6">
        <v>51</v>
      </c>
      <c r="D30" s="7">
        <v>44348</v>
      </c>
      <c r="E30" s="18">
        <v>0.28000000000000003</v>
      </c>
      <c r="F30" s="6" t="s">
        <v>18</v>
      </c>
      <c r="G30" s="19">
        <v>10</v>
      </c>
      <c r="H30" s="8" t="s">
        <v>19</v>
      </c>
      <c r="I30" s="9">
        <v>1115</v>
      </c>
      <c r="J30" s="10">
        <v>11150</v>
      </c>
      <c r="K30" s="11">
        <v>0</v>
      </c>
      <c r="L30" s="11">
        <v>1561.0000000000002</v>
      </c>
      <c r="M30" s="11">
        <v>1561.0000000000002</v>
      </c>
      <c r="N30" s="11"/>
      <c r="O30" s="11">
        <v>14272</v>
      </c>
      <c r="P30" s="10">
        <v>14272</v>
      </c>
    </row>
    <row r="31" spans="1:16" ht="15.6" x14ac:dyDescent="0.3">
      <c r="A31" s="23" t="s">
        <v>16</v>
      </c>
      <c r="B31" s="12" t="s">
        <v>23</v>
      </c>
      <c r="C31" s="12">
        <v>52</v>
      </c>
      <c r="D31" s="13">
        <v>44378</v>
      </c>
      <c r="E31" s="20">
        <v>0.05</v>
      </c>
      <c r="F31" s="12" t="s">
        <v>20</v>
      </c>
      <c r="G31" s="21">
        <v>5</v>
      </c>
      <c r="H31" s="14" t="s">
        <v>19</v>
      </c>
      <c r="I31" s="15">
        <v>1115</v>
      </c>
      <c r="J31" s="16">
        <v>5575</v>
      </c>
      <c r="K31" s="17">
        <v>0</v>
      </c>
      <c r="L31" s="17">
        <v>139.375</v>
      </c>
      <c r="M31" s="17">
        <v>139.375</v>
      </c>
      <c r="N31" s="17"/>
      <c r="O31" s="17">
        <v>5853.75</v>
      </c>
      <c r="P31" s="16">
        <v>5853.75</v>
      </c>
    </row>
    <row r="32" spans="1:16" ht="15.6" x14ac:dyDescent="0.3">
      <c r="A32" s="22" t="s">
        <v>22</v>
      </c>
      <c r="B32" s="6" t="s">
        <v>23</v>
      </c>
      <c r="C32" s="6">
        <v>53</v>
      </c>
      <c r="D32" s="7">
        <v>44318</v>
      </c>
      <c r="E32" s="18">
        <v>0.03</v>
      </c>
      <c r="F32" s="6" t="s">
        <v>18</v>
      </c>
      <c r="G32" s="19">
        <v>8</v>
      </c>
      <c r="H32" s="8" t="s">
        <v>19</v>
      </c>
      <c r="I32" s="9">
        <v>1115</v>
      </c>
      <c r="J32" s="10">
        <v>8920</v>
      </c>
      <c r="K32" s="11">
        <v>0</v>
      </c>
      <c r="L32" s="11">
        <v>133.79999999999998</v>
      </c>
      <c r="M32" s="11">
        <v>133.79999999999998</v>
      </c>
      <c r="N32" s="11"/>
      <c r="O32" s="11">
        <v>9187.5999999999985</v>
      </c>
      <c r="P32" s="10">
        <v>9187.5999999999985</v>
      </c>
    </row>
    <row r="33" spans="1:16" ht="15.6" x14ac:dyDescent="0.3">
      <c r="A33" s="23" t="s">
        <v>22</v>
      </c>
      <c r="B33" s="12" t="s">
        <v>23</v>
      </c>
      <c r="C33" s="12">
        <v>54</v>
      </c>
      <c r="D33" s="13">
        <v>44349</v>
      </c>
      <c r="E33" s="20">
        <v>0.05</v>
      </c>
      <c r="F33" s="12" t="s">
        <v>20</v>
      </c>
      <c r="G33" s="21">
        <v>10</v>
      </c>
      <c r="H33" s="14" t="s">
        <v>19</v>
      </c>
      <c r="I33" s="15">
        <v>1115</v>
      </c>
      <c r="J33" s="16">
        <v>11150</v>
      </c>
      <c r="K33" s="17">
        <v>0</v>
      </c>
      <c r="L33" s="17">
        <v>278.75</v>
      </c>
      <c r="M33" s="17">
        <v>278.75</v>
      </c>
      <c r="N33" s="17"/>
      <c r="O33" s="17">
        <v>11707.5</v>
      </c>
      <c r="P33" s="16">
        <v>11707.5</v>
      </c>
    </row>
    <row r="34" spans="1:16" ht="15.6" x14ac:dyDescent="0.3">
      <c r="A34" s="22" t="s">
        <v>22</v>
      </c>
      <c r="B34" s="6" t="s">
        <v>23</v>
      </c>
      <c r="C34" s="6">
        <v>55</v>
      </c>
      <c r="D34" s="7">
        <v>44379</v>
      </c>
      <c r="E34" s="18">
        <v>0.05</v>
      </c>
      <c r="F34" s="6" t="s">
        <v>18</v>
      </c>
      <c r="G34" s="19">
        <v>2</v>
      </c>
      <c r="H34" s="8" t="s">
        <v>19</v>
      </c>
      <c r="I34" s="9">
        <v>1115</v>
      </c>
      <c r="J34" s="10">
        <v>2230</v>
      </c>
      <c r="K34" s="11">
        <v>0</v>
      </c>
      <c r="L34" s="11">
        <v>55.75</v>
      </c>
      <c r="M34" s="11">
        <v>55.75</v>
      </c>
      <c r="N34" s="11"/>
      <c r="O34" s="11">
        <v>2341.5</v>
      </c>
      <c r="P34" s="10">
        <v>2341.5</v>
      </c>
    </row>
    <row r="35" spans="1:16" ht="15.6" x14ac:dyDescent="0.3">
      <c r="A35" s="23" t="s">
        <v>22</v>
      </c>
      <c r="B35" s="12" t="s">
        <v>23</v>
      </c>
      <c r="C35" s="12">
        <v>56</v>
      </c>
      <c r="D35" s="13">
        <v>44319</v>
      </c>
      <c r="E35" s="20">
        <v>0.28000000000000003</v>
      </c>
      <c r="F35" s="12" t="s">
        <v>20</v>
      </c>
      <c r="G35" s="21">
        <v>4</v>
      </c>
      <c r="H35" s="14" t="s">
        <v>19</v>
      </c>
      <c r="I35" s="15">
        <v>1115</v>
      </c>
      <c r="J35" s="16">
        <v>4460</v>
      </c>
      <c r="K35" s="17">
        <v>0</v>
      </c>
      <c r="L35" s="17">
        <v>624.40000000000009</v>
      </c>
      <c r="M35" s="17">
        <v>624.40000000000009</v>
      </c>
      <c r="N35" s="17"/>
      <c r="O35" s="17">
        <v>5708.7999999999993</v>
      </c>
      <c r="P35" s="16">
        <v>5708.7999999999993</v>
      </c>
    </row>
    <row r="36" spans="1:16" ht="15.6" x14ac:dyDescent="0.3">
      <c r="A36" s="22" t="s">
        <v>16</v>
      </c>
      <c r="B36" s="6" t="s">
        <v>23</v>
      </c>
      <c r="C36" s="6">
        <v>57</v>
      </c>
      <c r="D36" s="7">
        <v>44350</v>
      </c>
      <c r="E36" s="18">
        <v>1E-3</v>
      </c>
      <c r="F36" s="6" t="s">
        <v>18</v>
      </c>
      <c r="G36" s="19">
        <v>6</v>
      </c>
      <c r="H36" s="8" t="s">
        <v>19</v>
      </c>
      <c r="I36" s="9">
        <v>1115</v>
      </c>
      <c r="J36" s="10">
        <v>6690</v>
      </c>
      <c r="K36" s="11">
        <v>0</v>
      </c>
      <c r="L36" s="11">
        <v>3.3450000000000002</v>
      </c>
      <c r="M36" s="11">
        <v>3.3450000000000002</v>
      </c>
      <c r="N36" s="11"/>
      <c r="O36" s="11">
        <v>6696.6900000000005</v>
      </c>
      <c r="P36" s="10">
        <v>6696.6900000000005</v>
      </c>
    </row>
    <row r="37" spans="1:16" ht="15.6" x14ac:dyDescent="0.3">
      <c r="A37" s="23" t="s">
        <v>16</v>
      </c>
      <c r="B37" s="12" t="s">
        <v>23</v>
      </c>
      <c r="C37" s="12">
        <v>58</v>
      </c>
      <c r="D37" s="13">
        <v>44380</v>
      </c>
      <c r="E37" s="20">
        <v>0</v>
      </c>
      <c r="F37" s="12" t="s">
        <v>20</v>
      </c>
      <c r="G37" s="21">
        <v>5</v>
      </c>
      <c r="H37" s="14" t="s">
        <v>19</v>
      </c>
      <c r="I37" s="15">
        <v>1115</v>
      </c>
      <c r="J37" s="16">
        <v>5575</v>
      </c>
      <c r="K37" s="17">
        <v>0</v>
      </c>
      <c r="L37" s="17">
        <v>0</v>
      </c>
      <c r="M37" s="17">
        <v>0</v>
      </c>
      <c r="N37" s="17"/>
      <c r="O37" s="17">
        <v>5575</v>
      </c>
      <c r="P37" s="16">
        <v>5575</v>
      </c>
    </row>
  </sheetData>
  <conditionalFormatting sqref="A10:A13 A19:A26 A32:A35">
    <cfRule type="expression" dxfId="12" priority="9">
      <formula>IF(ISBLANK(#REF!), 0, SEARCH(#REF!,$A10&amp;#REF!&amp;$B4&amp;$C4&amp;#REF!&amp;$J4))</formula>
    </cfRule>
  </conditionalFormatting>
  <conditionalFormatting sqref="A12:A13">
    <cfRule type="expression" dxfId="11" priority="6">
      <formula>IF(ISBLANK(#REF!), 0, SEARCH(#REF!,$A12&amp;#REF!&amp;$B6&amp;$C6&amp;#REF!&amp;$E6))</formula>
    </cfRule>
  </conditionalFormatting>
  <conditionalFormatting sqref="A21:A22 A25:A26 A34:A35">
    <cfRule type="expression" dxfId="10" priority="13">
      <formula>IF(ISBLANK(#REF!), 0, SEARCH(#REF!,$A21&amp;#REF!&amp;$B15&amp;$C15&amp;#REF!&amp;$E15))</formula>
    </cfRule>
  </conditionalFormatting>
  <conditionalFormatting sqref="B14:B37 E16:E37 G16:G37 J16:J37">
    <cfRule type="expression" dxfId="9" priority="2">
      <formula>IF(ISBLANK(#REF!), 0, SEARCH(#REF!,$A14&amp;#REF!&amp;$B14&amp;$D14&amp;#REF!&amp;$J14))</formula>
    </cfRule>
  </conditionalFormatting>
  <conditionalFormatting sqref="B16:B37 E16:E37 G16:G37 J16:J37">
    <cfRule type="expression" dxfId="8" priority="1">
      <formula>IF(ISBLANK(#REF!), 0, SEARCH(#REF!,$A16&amp;#REF!&amp;$B16&amp;$D16&amp;#REF!&amp;$E16))</formula>
    </cfRule>
  </conditionalFormatting>
  <conditionalFormatting sqref="C2:C3 E2:J3 A4:A9 B4:C13 F4:F37 H4:I37 C14:C37">
    <cfRule type="expression" dxfId="7" priority="5">
      <formula>IF(ISBLANK(#REF!), 0, SEARCH(#REF!,$A2&amp;#REF!&amp;$B2&amp;$C2&amp;#REF!&amp;$J2))</formula>
    </cfRule>
  </conditionalFormatting>
  <conditionalFormatting sqref="D2:D37 A16:A18 A29:A31 A37">
    <cfRule type="expression" dxfId="6" priority="12">
      <formula>IF(ISBLANK(#REF!), 0, SEARCH(#REF!,$A2&amp;#REF!&amp;$B2&amp;$C2&amp;#REF!&amp;$J2))</formula>
    </cfRule>
  </conditionalFormatting>
  <conditionalFormatting sqref="E4:E9 G4:G9 J4:J9">
    <cfRule type="expression" dxfId="5" priority="10">
      <formula>IF(ISBLANK(#REF!), 0, SEARCH(#REF!,$A10&amp;#REF!&amp;$B4&amp;$C4&amp;#REF!&amp;$J4))</formula>
    </cfRule>
  </conditionalFormatting>
  <conditionalFormatting sqref="E6:E9 G6:G9 J6:J9">
    <cfRule type="expression" dxfId="4" priority="7">
      <formula>IF(ISBLANK(#REF!), 0, SEARCH(#REF!,$A12&amp;#REF!&amp;$B6&amp;$C6&amp;#REF!&amp;$E6))</formula>
    </cfRule>
  </conditionalFormatting>
  <conditionalFormatting sqref="E10:E13 G10:G13 J10:J13">
    <cfRule type="expression" dxfId="3" priority="8">
      <formula>IF(ISBLANK(#REF!), 0, SEARCH(#REF!,#REF!&amp;#REF!&amp;$B10&amp;$C10&amp;#REF!&amp;$E10))</formula>
    </cfRule>
    <cfRule type="expression" dxfId="2" priority="11">
      <formula>IF(ISBLANK(#REF!), 0, SEARCH(#REF!,#REF!&amp;#REF!&amp;$B10&amp;$C10&amp;#REF!&amp;$J10))</formula>
    </cfRule>
  </conditionalFormatting>
  <conditionalFormatting sqref="E14:E15 G14:G15 J14:J15">
    <cfRule type="expression" dxfId="1" priority="3">
      <formula>IF(ISBLANK(#REF!), 0, SEARCH(#REF!,#REF!&amp;#REF!&amp;$B14&amp;$D14&amp;#REF!&amp;$E14))</formula>
    </cfRule>
    <cfRule type="expression" dxfId="0"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80E6-F786-47C1-9DF8-001E11E9E4DD}">
  <sheetPr>
    <tabColor rgb="FFFF0000"/>
  </sheetPr>
  <dimension ref="B2:C6"/>
  <sheetViews>
    <sheetView workbookViewId="0">
      <selection activeCell="B2" sqref="B2"/>
    </sheetView>
  </sheetViews>
  <sheetFormatPr defaultRowHeight="14.4" x14ac:dyDescent="0.3"/>
  <cols>
    <col min="2" max="2" width="20.33203125" bestFit="1" customWidth="1"/>
    <col min="3" max="3" width="17.88671875" bestFit="1" customWidth="1"/>
  </cols>
  <sheetData>
    <row r="2" spans="2:3" ht="21" x14ac:dyDescent="0.4">
      <c r="B2" s="5" t="s">
        <v>35</v>
      </c>
      <c r="C2" s="5" t="s">
        <v>40</v>
      </c>
    </row>
    <row r="3" spans="2:3" ht="21" x14ac:dyDescent="0.4">
      <c r="B3" s="5" t="s">
        <v>36</v>
      </c>
      <c r="C3" s="5" t="s">
        <v>41</v>
      </c>
    </row>
    <row r="4" spans="2:3" ht="21" x14ac:dyDescent="0.4">
      <c r="B4" s="5" t="s">
        <v>37</v>
      </c>
      <c r="C4" s="5" t="s">
        <v>42</v>
      </c>
    </row>
    <row r="5" spans="2:3" ht="21" x14ac:dyDescent="0.4">
      <c r="B5" s="5" t="s">
        <v>38</v>
      </c>
      <c r="C5" s="5" t="s">
        <v>43</v>
      </c>
    </row>
    <row r="6" spans="2:3" ht="21" x14ac:dyDescent="0.4">
      <c r="B6" s="5" t="s">
        <v>39</v>
      </c>
      <c r="C6" s="5" t="s">
        <v>44</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8224-146E-48D7-AB3B-C9BF78B812FB}">
  <sheetPr>
    <tabColor theme="5"/>
  </sheetPr>
  <dimension ref="A3:B6"/>
  <sheetViews>
    <sheetView workbookViewId="0">
      <selection activeCell="S24" sqref="S24"/>
    </sheetView>
  </sheetViews>
  <sheetFormatPr defaultRowHeight="14.4" x14ac:dyDescent="0.3"/>
  <cols>
    <col min="1" max="1" width="21.33203125" bestFit="1" customWidth="1"/>
    <col min="2" max="2" width="20.88671875" bestFit="1" customWidth="1"/>
  </cols>
  <sheetData>
    <row r="3" spans="1:2" ht="23.4" x14ac:dyDescent="0.3">
      <c r="A3" s="28" t="s">
        <v>24</v>
      </c>
      <c r="B3" s="29" t="s">
        <v>26</v>
      </c>
    </row>
    <row r="4" spans="1:2" ht="23.4" x14ac:dyDescent="0.3">
      <c r="A4" s="29" t="s">
        <v>16</v>
      </c>
      <c r="B4" s="30">
        <v>410376.47000000003</v>
      </c>
    </row>
    <row r="5" spans="1:2" ht="23.4" x14ac:dyDescent="0.3">
      <c r="A5" s="29" t="s">
        <v>22</v>
      </c>
      <c r="B5" s="30">
        <v>459587.38999999996</v>
      </c>
    </row>
    <row r="6" spans="1:2" ht="23.4" x14ac:dyDescent="0.3">
      <c r="A6" s="29" t="s">
        <v>25</v>
      </c>
      <c r="B6" s="30">
        <v>869963.86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E3EC8-4B6A-48F8-802C-680991634AE4}">
  <sheetPr>
    <tabColor theme="4" tint="-0.499984740745262"/>
  </sheetPr>
  <dimension ref="A3:B8"/>
  <sheetViews>
    <sheetView workbookViewId="0">
      <selection activeCell="V7" sqref="V7"/>
    </sheetView>
  </sheetViews>
  <sheetFormatPr defaultRowHeight="14.4" x14ac:dyDescent="0.3"/>
  <cols>
    <col min="1" max="1" width="19.77734375" bestFit="1" customWidth="1"/>
    <col min="2" max="2" width="18.77734375" bestFit="1" customWidth="1"/>
  </cols>
  <sheetData>
    <row r="3" spans="1:2" ht="21" x14ac:dyDescent="0.3">
      <c r="A3" s="34" t="s">
        <v>24</v>
      </c>
      <c r="B3" s="35" t="s">
        <v>26</v>
      </c>
    </row>
    <row r="4" spans="1:2" ht="21" x14ac:dyDescent="0.3">
      <c r="A4" s="35" t="s">
        <v>27</v>
      </c>
      <c r="B4" s="36">
        <v>21004</v>
      </c>
    </row>
    <row r="5" spans="1:2" ht="21" x14ac:dyDescent="0.3">
      <c r="A5" s="35" t="s">
        <v>28</v>
      </c>
      <c r="B5" s="36">
        <v>229752.43999999997</v>
      </c>
    </row>
    <row r="6" spans="1:2" ht="21" x14ac:dyDescent="0.3">
      <c r="A6" s="35" t="s">
        <v>29</v>
      </c>
      <c r="B6" s="36">
        <v>389805.09</v>
      </c>
    </row>
    <row r="7" spans="1:2" ht="21" x14ac:dyDescent="0.3">
      <c r="A7" s="35" t="s">
        <v>30</v>
      </c>
      <c r="B7" s="36">
        <v>229402.33</v>
      </c>
    </row>
    <row r="8" spans="1:2" ht="21" x14ac:dyDescent="0.3">
      <c r="A8" s="35" t="s">
        <v>25</v>
      </c>
      <c r="B8" s="36">
        <v>869963.86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F9A4B-4A4C-4FDA-8568-838F3F297297}">
  <sheetPr>
    <tabColor theme="7"/>
  </sheetPr>
  <dimension ref="A3:E11"/>
  <sheetViews>
    <sheetView workbookViewId="0">
      <selection activeCell="E16" sqref="E16"/>
    </sheetView>
  </sheetViews>
  <sheetFormatPr defaultRowHeight="14.4" x14ac:dyDescent="0.3"/>
  <cols>
    <col min="1" max="1" width="19.33203125" bestFit="1" customWidth="1"/>
    <col min="2" max="2" width="15.88671875" bestFit="1" customWidth="1"/>
    <col min="3" max="3" width="16.6640625" bestFit="1" customWidth="1"/>
    <col min="4" max="4" width="16.44140625" bestFit="1" customWidth="1"/>
    <col min="5" max="5" width="18.44140625" bestFit="1" customWidth="1"/>
    <col min="6" max="6" width="12.88671875" bestFit="1" customWidth="1"/>
  </cols>
  <sheetData>
    <row r="3" spans="1:5" ht="21" x14ac:dyDescent="0.3">
      <c r="A3" s="34" t="s">
        <v>24</v>
      </c>
      <c r="B3" s="35" t="s">
        <v>31</v>
      </c>
      <c r="C3" s="35" t="s">
        <v>32</v>
      </c>
      <c r="D3" s="35" t="s">
        <v>33</v>
      </c>
      <c r="E3" s="35" t="s">
        <v>26</v>
      </c>
    </row>
    <row r="4" spans="1:5" ht="21" x14ac:dyDescent="0.3">
      <c r="A4" s="37">
        <v>0</v>
      </c>
      <c r="B4" s="36">
        <v>0</v>
      </c>
      <c r="C4" s="36">
        <v>0</v>
      </c>
      <c r="D4" s="36">
        <v>0</v>
      </c>
      <c r="E4" s="36">
        <v>84740</v>
      </c>
    </row>
    <row r="5" spans="1:5" ht="21" x14ac:dyDescent="0.3">
      <c r="A5" s="37">
        <v>1E-3</v>
      </c>
      <c r="B5" s="36">
        <v>0</v>
      </c>
      <c r="C5" s="36">
        <v>46.83</v>
      </c>
      <c r="D5" s="36">
        <v>46.83</v>
      </c>
      <c r="E5" s="36">
        <v>93753.659999999989</v>
      </c>
    </row>
    <row r="6" spans="1:5" ht="21" x14ac:dyDescent="0.3">
      <c r="A6" s="37">
        <v>0.03</v>
      </c>
      <c r="B6" s="36">
        <v>1505.25</v>
      </c>
      <c r="C6" s="36">
        <v>1087.125</v>
      </c>
      <c r="D6" s="36">
        <v>1087.125</v>
      </c>
      <c r="E6" s="36">
        <v>126329.5</v>
      </c>
    </row>
    <row r="7" spans="1:5" ht="21" x14ac:dyDescent="0.3">
      <c r="A7" s="37">
        <v>0.05</v>
      </c>
      <c r="B7" s="36">
        <v>1393.75</v>
      </c>
      <c r="C7" s="36">
        <v>2871.125</v>
      </c>
      <c r="D7" s="36">
        <v>2871.125</v>
      </c>
      <c r="E7" s="36">
        <v>149856</v>
      </c>
    </row>
    <row r="8" spans="1:5" ht="21" x14ac:dyDescent="0.3">
      <c r="A8" s="37">
        <v>0.12</v>
      </c>
      <c r="B8" s="36">
        <v>0</v>
      </c>
      <c r="C8" s="36">
        <v>7559.4</v>
      </c>
      <c r="D8" s="36">
        <v>7559.4</v>
      </c>
      <c r="E8" s="36">
        <v>141108.79999999999</v>
      </c>
    </row>
    <row r="9" spans="1:5" ht="21" x14ac:dyDescent="0.3">
      <c r="A9" s="37">
        <v>0.18</v>
      </c>
      <c r="B9" s="36">
        <v>8429.4</v>
      </c>
      <c r="C9" s="36">
        <v>3307.95</v>
      </c>
      <c r="D9" s="36">
        <v>3307.95</v>
      </c>
      <c r="E9" s="36">
        <v>98630.3</v>
      </c>
    </row>
    <row r="10" spans="1:5" ht="21" x14ac:dyDescent="0.3">
      <c r="A10" s="37">
        <v>0.28000000000000003</v>
      </c>
      <c r="B10" s="36">
        <v>0</v>
      </c>
      <c r="C10" s="36">
        <v>19200.300000000003</v>
      </c>
      <c r="D10" s="36">
        <v>19200.300000000003</v>
      </c>
      <c r="E10" s="36">
        <v>175545.59999999998</v>
      </c>
    </row>
    <row r="11" spans="1:5" ht="21" x14ac:dyDescent="0.3">
      <c r="A11" s="37" t="s">
        <v>25</v>
      </c>
      <c r="B11" s="36">
        <v>11328.4</v>
      </c>
      <c r="C11" s="36">
        <v>34072.730000000003</v>
      </c>
      <c r="D11" s="36">
        <v>34072.730000000003</v>
      </c>
      <c r="E11" s="36">
        <v>869963.86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2BED5-D9E1-425C-B207-2DE259D11E95}">
  <sheetPr>
    <tabColor theme="4" tint="-0.249977111117893"/>
  </sheetPr>
  <dimension ref="A3:B6"/>
  <sheetViews>
    <sheetView workbookViewId="0">
      <selection activeCell="B14" sqref="B14"/>
    </sheetView>
  </sheetViews>
  <sheetFormatPr defaultRowHeight="14.4" x14ac:dyDescent="0.3"/>
  <cols>
    <col min="1" max="1" width="25.88671875" bestFit="1" customWidth="1"/>
    <col min="2" max="2" width="25.5546875" bestFit="1" customWidth="1"/>
  </cols>
  <sheetData>
    <row r="3" spans="1:2" ht="28.8" x14ac:dyDescent="0.3">
      <c r="A3" s="31" t="s">
        <v>24</v>
      </c>
      <c r="B3" s="32" t="s">
        <v>26</v>
      </c>
    </row>
    <row r="4" spans="1:2" ht="28.8" x14ac:dyDescent="0.3">
      <c r="A4" s="32" t="s">
        <v>20</v>
      </c>
      <c r="B4" s="33">
        <v>427057.24</v>
      </c>
    </row>
    <row r="5" spans="1:2" ht="28.8" x14ac:dyDescent="0.3">
      <c r="A5" s="32" t="s">
        <v>18</v>
      </c>
      <c r="B5" s="33">
        <v>442906.61999999994</v>
      </c>
    </row>
    <row r="6" spans="1:2" ht="28.8" x14ac:dyDescent="0.3">
      <c r="A6" s="32" t="s">
        <v>25</v>
      </c>
      <c r="B6" s="33">
        <v>869963.85999999987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50C08-7BDC-4FDD-9F74-4C3E0C34736E}">
  <sheetPr>
    <tabColor theme="4" tint="-0.499984740745262"/>
  </sheetPr>
  <dimension ref="A1:B6"/>
  <sheetViews>
    <sheetView workbookViewId="0">
      <selection activeCell="B15" sqref="B15"/>
    </sheetView>
  </sheetViews>
  <sheetFormatPr defaultRowHeight="14.4" x14ac:dyDescent="0.3"/>
  <cols>
    <col min="1" max="1" width="19.77734375" bestFit="1" customWidth="1"/>
    <col min="2" max="2" width="18.77734375" bestFit="1" customWidth="1"/>
  </cols>
  <sheetData>
    <row r="1" spans="1:2" ht="20.399999999999999" customHeight="1" x14ac:dyDescent="0.3"/>
    <row r="3" spans="1:2" ht="21" x14ac:dyDescent="0.3">
      <c r="A3" s="34" t="s">
        <v>24</v>
      </c>
      <c r="B3" s="35" t="s">
        <v>26</v>
      </c>
    </row>
    <row r="4" spans="1:2" ht="21" x14ac:dyDescent="0.3">
      <c r="A4" s="35" t="s">
        <v>21</v>
      </c>
      <c r="B4" s="36">
        <v>139553.4</v>
      </c>
    </row>
    <row r="5" spans="1:2" ht="21" x14ac:dyDescent="0.3">
      <c r="A5" s="35" t="s">
        <v>17</v>
      </c>
      <c r="B5" s="36">
        <v>730410.46</v>
      </c>
    </row>
    <row r="6" spans="1:2" ht="21" x14ac:dyDescent="0.3">
      <c r="A6" s="35" t="s">
        <v>25</v>
      </c>
      <c r="B6" s="36">
        <v>869963.86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D5E26-DCEB-4843-818F-173565321CE5}">
  <dimension ref="A1:T30"/>
  <sheetViews>
    <sheetView tabSelected="1" workbookViewId="0">
      <selection activeCell="U13" sqref="U13"/>
    </sheetView>
  </sheetViews>
  <sheetFormatPr defaultRowHeight="14.4" x14ac:dyDescent="0.3"/>
  <sheetData>
    <row r="1" spans="1:20" x14ac:dyDescent="0.3">
      <c r="A1" s="38"/>
      <c r="B1" s="38"/>
      <c r="C1" s="38"/>
      <c r="D1" s="38"/>
      <c r="E1" s="38"/>
      <c r="F1" s="38"/>
      <c r="G1" s="38"/>
      <c r="H1" s="38"/>
      <c r="I1" s="38"/>
      <c r="J1" s="38"/>
      <c r="K1" s="38"/>
      <c r="L1" s="38"/>
      <c r="M1" s="38"/>
      <c r="N1" s="38"/>
      <c r="O1" s="38"/>
      <c r="P1" s="38"/>
      <c r="Q1" s="38"/>
      <c r="R1" s="38"/>
      <c r="T1" t="s">
        <v>45</v>
      </c>
    </row>
    <row r="2" spans="1:20" x14ac:dyDescent="0.3">
      <c r="A2" s="38"/>
      <c r="B2" s="38"/>
      <c r="C2" s="38"/>
      <c r="D2" s="38"/>
      <c r="E2" s="38"/>
      <c r="F2" s="38"/>
      <c r="G2" s="38"/>
      <c r="H2" s="38"/>
      <c r="I2" s="38"/>
      <c r="J2" s="38"/>
      <c r="K2" s="38"/>
      <c r="L2" s="38"/>
      <c r="M2" s="38"/>
      <c r="N2" s="38"/>
      <c r="O2" s="38"/>
      <c r="P2" s="38"/>
      <c r="Q2" s="38"/>
      <c r="R2" s="38"/>
    </row>
    <row r="3" spans="1:20" x14ac:dyDescent="0.3">
      <c r="A3" s="38"/>
      <c r="B3" s="38"/>
      <c r="C3" s="38"/>
      <c r="D3" s="38"/>
      <c r="E3" s="38"/>
      <c r="F3" s="38"/>
      <c r="G3" s="38"/>
      <c r="H3" s="38"/>
      <c r="I3" s="38"/>
      <c r="J3" s="38"/>
      <c r="K3" s="38"/>
      <c r="L3" s="38"/>
      <c r="M3" s="38"/>
      <c r="N3" s="38"/>
      <c r="O3" s="38"/>
      <c r="P3" s="38"/>
      <c r="Q3" s="38"/>
      <c r="R3" s="38"/>
    </row>
    <row r="4" spans="1:20" x14ac:dyDescent="0.3">
      <c r="A4" s="38"/>
      <c r="B4" s="38"/>
      <c r="C4" s="38"/>
      <c r="D4" s="38"/>
      <c r="E4" s="38"/>
      <c r="F4" s="38"/>
      <c r="G4" s="38"/>
      <c r="H4" s="38"/>
      <c r="I4" s="38"/>
      <c r="J4" s="38"/>
      <c r="K4" s="38"/>
      <c r="L4" s="38"/>
      <c r="M4" s="38"/>
      <c r="N4" s="38"/>
      <c r="O4" s="38"/>
      <c r="P4" s="38"/>
      <c r="Q4" s="38"/>
      <c r="R4" s="38"/>
    </row>
    <row r="5" spans="1:20" x14ac:dyDescent="0.3">
      <c r="A5" s="38"/>
      <c r="B5" s="38"/>
      <c r="C5" s="38"/>
      <c r="D5" s="38"/>
      <c r="E5" s="38"/>
      <c r="F5" s="38"/>
      <c r="G5" s="38"/>
      <c r="H5" s="38"/>
      <c r="I5" s="38"/>
      <c r="J5" s="38"/>
      <c r="K5" s="38"/>
      <c r="L5" s="38"/>
      <c r="M5" s="38"/>
      <c r="N5" s="38"/>
      <c r="O5" s="38"/>
      <c r="P5" s="38"/>
      <c r="Q5" s="38"/>
      <c r="R5" s="38"/>
    </row>
    <row r="6" spans="1:20" x14ac:dyDescent="0.3">
      <c r="A6" s="38"/>
      <c r="B6" s="38"/>
      <c r="C6" s="38"/>
      <c r="D6" s="38"/>
      <c r="E6" s="38"/>
      <c r="F6" s="38"/>
      <c r="G6" s="38"/>
      <c r="H6" s="38"/>
      <c r="I6" s="38"/>
      <c r="J6" s="38"/>
      <c r="K6" s="38"/>
      <c r="L6" s="38"/>
      <c r="M6" s="38"/>
      <c r="N6" s="38"/>
      <c r="O6" s="38"/>
      <c r="P6" s="38"/>
      <c r="Q6" s="38"/>
      <c r="R6" s="38"/>
    </row>
    <row r="7" spans="1:20" x14ac:dyDescent="0.3">
      <c r="A7" s="38"/>
      <c r="B7" s="38"/>
      <c r="C7" s="38"/>
      <c r="D7" s="38"/>
      <c r="E7" s="38"/>
      <c r="F7" s="38"/>
      <c r="G7" s="38"/>
      <c r="H7" s="38"/>
      <c r="I7" s="38"/>
      <c r="J7" s="38"/>
      <c r="K7" s="38"/>
      <c r="L7" s="38"/>
      <c r="M7" s="38"/>
      <c r="N7" s="38"/>
      <c r="O7" s="38"/>
      <c r="P7" s="38"/>
      <c r="Q7" s="38"/>
      <c r="R7" s="38"/>
    </row>
    <row r="8" spans="1:20" x14ac:dyDescent="0.3">
      <c r="A8" s="38"/>
      <c r="B8" s="38"/>
      <c r="C8" s="38"/>
      <c r="D8" s="38"/>
      <c r="E8" s="38"/>
      <c r="F8" s="38"/>
      <c r="G8" s="38"/>
      <c r="H8" s="38"/>
      <c r="I8" s="38"/>
      <c r="J8" s="38"/>
      <c r="K8" s="38"/>
      <c r="L8" s="38"/>
      <c r="M8" s="38"/>
      <c r="N8" s="38"/>
      <c r="O8" s="38"/>
      <c r="P8" s="38"/>
      <c r="Q8" s="38"/>
      <c r="R8" s="38"/>
    </row>
    <row r="9" spans="1:20" x14ac:dyDescent="0.3">
      <c r="A9" s="38"/>
      <c r="B9" s="38"/>
      <c r="C9" s="38"/>
      <c r="D9" s="38"/>
      <c r="E9" s="38"/>
      <c r="F9" s="38"/>
      <c r="G9" s="38"/>
      <c r="H9" s="38"/>
      <c r="I9" s="38"/>
      <c r="J9" s="38"/>
      <c r="K9" s="38"/>
      <c r="L9" s="38"/>
      <c r="M9" s="38"/>
      <c r="N9" s="38"/>
      <c r="O9" s="38"/>
      <c r="P9" s="38"/>
      <c r="Q9" s="38"/>
      <c r="R9" s="38"/>
    </row>
    <row r="10" spans="1:20" x14ac:dyDescent="0.3">
      <c r="A10" s="38"/>
      <c r="B10" s="38"/>
      <c r="C10" s="38"/>
      <c r="D10" s="38"/>
      <c r="E10" s="38"/>
      <c r="F10" s="38"/>
      <c r="G10" s="38"/>
      <c r="H10" s="38"/>
      <c r="I10" s="38"/>
      <c r="J10" s="38"/>
      <c r="K10" s="38"/>
      <c r="L10" s="38"/>
      <c r="M10" s="38"/>
      <c r="N10" s="38"/>
      <c r="O10" s="38"/>
      <c r="P10" s="38"/>
      <c r="Q10" s="38"/>
      <c r="R10" s="38"/>
    </row>
    <row r="11" spans="1:20" x14ac:dyDescent="0.3">
      <c r="A11" s="38"/>
      <c r="B11" s="38"/>
      <c r="C11" s="38"/>
      <c r="D11" s="38"/>
      <c r="E11" s="38"/>
      <c r="F11" s="38"/>
      <c r="G11" s="38"/>
      <c r="H11" s="38"/>
      <c r="I11" s="38"/>
      <c r="J11" s="38"/>
      <c r="K11" s="38"/>
      <c r="L11" s="38"/>
      <c r="M11" s="38"/>
      <c r="N11" s="38"/>
      <c r="O11" s="38"/>
      <c r="P11" s="38"/>
      <c r="Q11" s="38"/>
      <c r="R11" s="38"/>
    </row>
    <row r="12" spans="1:20" x14ac:dyDescent="0.3">
      <c r="A12" s="38"/>
      <c r="B12" s="38"/>
      <c r="C12" s="38"/>
      <c r="D12" s="38"/>
      <c r="E12" s="38"/>
      <c r="F12" s="38"/>
      <c r="G12" s="38"/>
      <c r="H12" s="38"/>
      <c r="I12" s="38"/>
      <c r="J12" s="38"/>
      <c r="K12" s="38"/>
      <c r="L12" s="38"/>
      <c r="M12" s="38"/>
      <c r="N12" s="38"/>
      <c r="O12" s="38"/>
      <c r="P12" s="38"/>
      <c r="Q12" s="38"/>
      <c r="R12" s="38"/>
    </row>
    <row r="13" spans="1:20" x14ac:dyDescent="0.3">
      <c r="A13" s="38"/>
      <c r="B13" s="38"/>
      <c r="C13" s="38"/>
      <c r="D13" s="38"/>
      <c r="E13" s="38"/>
      <c r="F13" s="38"/>
      <c r="G13" s="38"/>
      <c r="H13" s="38"/>
      <c r="I13" s="38"/>
      <c r="J13" s="38"/>
      <c r="K13" s="38"/>
      <c r="L13" s="38"/>
      <c r="M13" s="38"/>
      <c r="N13" s="38"/>
      <c r="O13" s="38"/>
      <c r="P13" s="38"/>
      <c r="Q13" s="38"/>
      <c r="R13" s="38"/>
    </row>
    <row r="14" spans="1:20" x14ac:dyDescent="0.3">
      <c r="A14" s="38"/>
      <c r="B14" s="38"/>
      <c r="C14" s="38"/>
      <c r="D14" s="38"/>
      <c r="E14" s="38"/>
      <c r="F14" s="38"/>
      <c r="G14" s="38"/>
      <c r="H14" s="38"/>
      <c r="I14" s="38"/>
      <c r="J14" s="38"/>
      <c r="K14" s="38"/>
      <c r="L14" s="38"/>
      <c r="M14" s="38"/>
      <c r="N14" s="38"/>
      <c r="O14" s="38"/>
      <c r="P14" s="38"/>
      <c r="Q14" s="38"/>
      <c r="R14" s="38"/>
    </row>
    <row r="15" spans="1:20" x14ac:dyDescent="0.3">
      <c r="A15" s="38"/>
      <c r="B15" s="38"/>
      <c r="C15" s="38"/>
      <c r="D15" s="38"/>
      <c r="E15" s="38"/>
      <c r="F15" s="38"/>
      <c r="G15" s="38"/>
      <c r="H15" s="38"/>
      <c r="I15" s="38"/>
      <c r="J15" s="38"/>
      <c r="K15" s="38"/>
      <c r="L15" s="38"/>
      <c r="M15" s="38"/>
      <c r="N15" s="38"/>
      <c r="O15" s="38"/>
      <c r="P15" s="38"/>
      <c r="Q15" s="38"/>
      <c r="R15" s="38"/>
    </row>
    <row r="16" spans="1:20" x14ac:dyDescent="0.3">
      <c r="A16" s="38"/>
      <c r="B16" s="38"/>
      <c r="C16" s="38"/>
      <c r="D16" s="38"/>
      <c r="E16" s="38"/>
      <c r="F16" s="38"/>
      <c r="G16" s="38"/>
      <c r="H16" s="38"/>
      <c r="I16" s="38"/>
      <c r="J16" s="38"/>
      <c r="K16" s="38"/>
      <c r="L16" s="38"/>
      <c r="M16" s="38"/>
      <c r="N16" s="38"/>
      <c r="O16" s="38"/>
      <c r="P16" s="38"/>
      <c r="Q16" s="38"/>
      <c r="R16" s="38"/>
    </row>
    <row r="17" spans="1:18" x14ac:dyDescent="0.3">
      <c r="A17" s="38"/>
      <c r="B17" s="38"/>
      <c r="C17" s="38"/>
      <c r="D17" s="38"/>
      <c r="E17" s="38"/>
      <c r="F17" s="38"/>
      <c r="G17" s="38"/>
      <c r="H17" s="38"/>
      <c r="I17" s="38"/>
      <c r="J17" s="38"/>
      <c r="K17" s="38"/>
      <c r="L17" s="38"/>
      <c r="M17" s="38"/>
      <c r="N17" s="38"/>
      <c r="O17" s="38"/>
      <c r="P17" s="38"/>
      <c r="Q17" s="38"/>
      <c r="R17" s="38"/>
    </row>
    <row r="18" spans="1:18" x14ac:dyDescent="0.3">
      <c r="A18" s="38"/>
      <c r="B18" s="38"/>
      <c r="C18" s="38"/>
      <c r="D18" s="38"/>
      <c r="E18" s="38"/>
      <c r="F18" s="38"/>
      <c r="G18" s="38"/>
      <c r="H18" s="38"/>
      <c r="I18" s="38"/>
      <c r="J18" s="38"/>
      <c r="K18" s="38"/>
      <c r="L18" s="38"/>
      <c r="M18" s="38"/>
      <c r="N18" s="38"/>
      <c r="O18" s="38"/>
      <c r="P18" s="38"/>
      <c r="Q18" s="38"/>
      <c r="R18" s="38"/>
    </row>
    <row r="19" spans="1:18" x14ac:dyDescent="0.3">
      <c r="A19" s="38"/>
      <c r="B19" s="38"/>
      <c r="C19" s="38"/>
      <c r="D19" s="38"/>
      <c r="E19" s="38"/>
      <c r="F19" s="38"/>
      <c r="G19" s="38"/>
      <c r="H19" s="38"/>
      <c r="I19" s="38"/>
      <c r="J19" s="38"/>
      <c r="K19" s="38"/>
      <c r="L19" s="38"/>
      <c r="M19" s="38"/>
      <c r="N19" s="38"/>
      <c r="O19" s="38"/>
      <c r="P19" s="38"/>
      <c r="Q19" s="38"/>
      <c r="R19" s="38"/>
    </row>
    <row r="20" spans="1:18" x14ac:dyDescent="0.3">
      <c r="A20" s="38"/>
      <c r="B20" s="38"/>
      <c r="C20" s="38"/>
      <c r="D20" s="38"/>
      <c r="E20" s="38"/>
      <c r="F20" s="38"/>
      <c r="G20" s="38"/>
      <c r="H20" s="38"/>
      <c r="I20" s="38"/>
      <c r="J20" s="38"/>
      <c r="K20" s="38"/>
      <c r="L20" s="38"/>
      <c r="M20" s="38"/>
      <c r="N20" s="38"/>
      <c r="O20" s="38"/>
      <c r="P20" s="38"/>
      <c r="Q20" s="38"/>
      <c r="R20" s="38"/>
    </row>
    <row r="21" spans="1:18" x14ac:dyDescent="0.3">
      <c r="A21" s="38"/>
      <c r="B21" s="38"/>
      <c r="C21" s="38"/>
      <c r="D21" s="38"/>
      <c r="E21" s="38"/>
      <c r="F21" s="38"/>
      <c r="G21" s="38"/>
      <c r="H21" s="38"/>
      <c r="I21" s="38"/>
      <c r="J21" s="38"/>
      <c r="K21" s="38"/>
      <c r="L21" s="38"/>
      <c r="M21" s="38"/>
      <c r="N21" s="38"/>
      <c r="O21" s="38"/>
      <c r="P21" s="38"/>
      <c r="Q21" s="38"/>
      <c r="R21" s="38"/>
    </row>
    <row r="22" spans="1:18" x14ac:dyDescent="0.3">
      <c r="A22" s="38"/>
      <c r="B22" s="38"/>
      <c r="C22" s="38"/>
      <c r="D22" s="38"/>
      <c r="E22" s="38"/>
      <c r="F22" s="38"/>
      <c r="G22" s="38"/>
      <c r="H22" s="38"/>
      <c r="I22" s="38"/>
      <c r="J22" s="38"/>
      <c r="K22" s="38"/>
      <c r="L22" s="38"/>
      <c r="M22" s="38"/>
      <c r="N22" s="38"/>
      <c r="O22" s="38"/>
      <c r="P22" s="38"/>
      <c r="Q22" s="38"/>
      <c r="R22" s="38"/>
    </row>
    <row r="23" spans="1:18" x14ac:dyDescent="0.3">
      <c r="A23" s="38"/>
      <c r="B23" s="38"/>
      <c r="C23" s="38"/>
      <c r="D23" s="38"/>
      <c r="E23" s="38"/>
      <c r="F23" s="38"/>
      <c r="G23" s="38"/>
      <c r="H23" s="38"/>
      <c r="I23" s="38"/>
      <c r="J23" s="38"/>
      <c r="K23" s="38"/>
      <c r="L23" s="38"/>
      <c r="M23" s="38"/>
      <c r="N23" s="38"/>
      <c r="O23" s="38"/>
      <c r="P23" s="38"/>
      <c r="Q23" s="38"/>
      <c r="R23" s="38"/>
    </row>
    <row r="24" spans="1:18" x14ac:dyDescent="0.3">
      <c r="A24" s="38"/>
      <c r="B24" s="38"/>
      <c r="C24" s="38"/>
      <c r="D24" s="38"/>
      <c r="E24" s="38"/>
      <c r="F24" s="38"/>
      <c r="G24" s="38"/>
      <c r="H24" s="38"/>
      <c r="I24" s="38"/>
      <c r="J24" s="38"/>
      <c r="K24" s="38"/>
      <c r="L24" s="38"/>
      <c r="M24" s="38"/>
      <c r="N24" s="38"/>
      <c r="O24" s="38"/>
      <c r="P24" s="38"/>
      <c r="Q24" s="38"/>
      <c r="R24" s="38"/>
    </row>
    <row r="25" spans="1:18" x14ac:dyDescent="0.3">
      <c r="A25" s="38"/>
      <c r="B25" s="38"/>
      <c r="C25" s="38"/>
      <c r="D25" s="38"/>
      <c r="E25" s="38"/>
      <c r="F25" s="38"/>
      <c r="G25" s="38"/>
      <c r="H25" s="38"/>
      <c r="I25" s="38"/>
      <c r="J25" s="38"/>
      <c r="K25" s="38"/>
      <c r="L25" s="38"/>
      <c r="M25" s="38"/>
      <c r="N25" s="38"/>
      <c r="O25" s="38"/>
      <c r="P25" s="38"/>
      <c r="Q25" s="38"/>
      <c r="R25" s="38"/>
    </row>
    <row r="26" spans="1:18" x14ac:dyDescent="0.3">
      <c r="A26" s="38"/>
      <c r="B26" s="38"/>
      <c r="C26" s="38"/>
      <c r="D26" s="38"/>
      <c r="E26" s="38"/>
      <c r="F26" s="38"/>
      <c r="G26" s="38"/>
      <c r="H26" s="38"/>
      <c r="I26" s="38"/>
      <c r="J26" s="38"/>
      <c r="K26" s="38"/>
      <c r="L26" s="38"/>
      <c r="M26" s="38"/>
      <c r="N26" s="38"/>
      <c r="O26" s="38"/>
      <c r="P26" s="38"/>
      <c r="Q26" s="38"/>
      <c r="R26" s="38"/>
    </row>
    <row r="27" spans="1:18" x14ac:dyDescent="0.3">
      <c r="A27" s="38"/>
      <c r="B27" s="38"/>
      <c r="C27" s="38"/>
      <c r="D27" s="38"/>
      <c r="E27" s="38"/>
      <c r="F27" s="38"/>
      <c r="G27" s="38"/>
      <c r="H27" s="38"/>
      <c r="I27" s="38"/>
      <c r="J27" s="38"/>
      <c r="K27" s="38"/>
      <c r="L27" s="38"/>
      <c r="M27" s="38"/>
      <c r="N27" s="38"/>
      <c r="O27" s="38"/>
      <c r="P27" s="38"/>
      <c r="Q27" s="38"/>
      <c r="R27" s="38"/>
    </row>
    <row r="28" spans="1:18" x14ac:dyDescent="0.3">
      <c r="A28" s="38"/>
      <c r="B28" s="38"/>
      <c r="C28" s="38"/>
      <c r="D28" s="38"/>
      <c r="E28" s="38"/>
      <c r="F28" s="38"/>
      <c r="G28" s="38"/>
      <c r="H28" s="38"/>
      <c r="I28" s="38"/>
      <c r="J28" s="38"/>
      <c r="K28" s="38"/>
      <c r="L28" s="38"/>
      <c r="M28" s="38"/>
      <c r="N28" s="38"/>
      <c r="O28" s="38"/>
      <c r="P28" s="38"/>
      <c r="Q28" s="38"/>
      <c r="R28" s="38"/>
    </row>
    <row r="29" spans="1:18" x14ac:dyDescent="0.3">
      <c r="A29" s="38"/>
      <c r="B29" s="38"/>
      <c r="C29" s="38"/>
      <c r="D29" s="38"/>
      <c r="E29" s="38"/>
      <c r="F29" s="38"/>
      <c r="G29" s="38"/>
      <c r="H29" s="38"/>
      <c r="I29" s="38"/>
      <c r="J29" s="38"/>
      <c r="K29" s="38"/>
      <c r="L29" s="38"/>
      <c r="M29" s="38"/>
      <c r="N29" s="38"/>
      <c r="O29" s="38"/>
      <c r="P29" s="38"/>
      <c r="Q29" s="38"/>
      <c r="R29" s="38"/>
    </row>
    <row r="30" spans="1:18" x14ac:dyDescent="0.3">
      <c r="A30" s="38"/>
      <c r="B30" s="38"/>
      <c r="C30" s="38"/>
      <c r="D30" s="38"/>
      <c r="E30" s="38"/>
      <c r="F30" s="38"/>
      <c r="G30" s="38"/>
      <c r="H30" s="38"/>
      <c r="I30" s="38"/>
      <c r="J30" s="38"/>
      <c r="K30" s="38"/>
      <c r="L30" s="38"/>
      <c r="M30" s="38"/>
      <c r="N30" s="38"/>
      <c r="O30" s="38"/>
      <c r="P30" s="38"/>
      <c r="Q30" s="38"/>
      <c r="R30" s="3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FIRM WISE</vt:lpstr>
      <vt:lpstr>MONTH WISE</vt:lpstr>
      <vt:lpstr>TAX WISE</vt:lpstr>
      <vt:lpstr>PRODUCT WISE</vt:lpstr>
      <vt:lpstr>DATA</vt:lpstr>
      <vt:lpstr>Sheet1</vt:lpstr>
      <vt:lpstr>Firm_Wise</vt:lpstr>
      <vt:lpstr>Month_Wise</vt:lpstr>
      <vt:lpstr>Tax_Waise</vt:lpstr>
      <vt:lpstr>Product_Wise</vt:lpstr>
      <vt:lpstr>State_Wise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a14365</cp:lastModifiedBy>
  <dcterms:created xsi:type="dcterms:W3CDTF">2020-04-22T22:10:47Z</dcterms:created>
  <dcterms:modified xsi:type="dcterms:W3CDTF">2026-04-25T14:08:58Z</dcterms:modified>
</cp:coreProperties>
</file>